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45" windowWidth="15480" windowHeight="11370"/>
  </bookViews>
  <sheets>
    <sheet name="Hoja1" sheetId="1" r:id="rId1"/>
    <sheet name="Hoja2" sheetId="2" r:id="rId2"/>
    <sheet name="Hoja3" sheetId="3" r:id="rId3"/>
  </sheets>
  <functionGroups/>
  <calcPr calcId="124519"/>
</workbook>
</file>

<file path=xl/calcChain.xml><?xml version="1.0" encoding="utf-8"?>
<calcChain xmlns="http://schemas.openxmlformats.org/spreadsheetml/2006/main">
  <c r="AQ7" i="1"/>
  <c r="AR7"/>
  <c r="AS7"/>
  <c r="AT7"/>
  <c r="AQ8"/>
  <c r="AR8"/>
  <c r="AS8"/>
  <c r="AT8"/>
  <c r="AQ9"/>
  <c r="AR9"/>
  <c r="AS9"/>
  <c r="AT9"/>
  <c r="AR6"/>
  <c r="AS6"/>
  <c r="AT6"/>
  <c r="AQ6"/>
  <c r="AA11"/>
  <c r="AA12"/>
  <c r="AA13"/>
  <c r="AB10"/>
  <c r="AQ13"/>
  <c r="AB11"/>
  <c r="AB12"/>
  <c r="AB13"/>
  <c r="AC10"/>
  <c r="AQ11"/>
  <c r="AC11"/>
  <c r="AC12"/>
  <c r="AC13"/>
  <c r="AD10"/>
  <c r="AQ10"/>
  <c r="AQ12"/>
  <c r="AD11"/>
  <c r="AD12"/>
  <c r="AD13"/>
  <c r="AA10"/>
  <c r="AR12"/>
  <c r="AS12"/>
  <c r="AT12" s="1"/>
  <c r="AQ15"/>
  <c r="M18" l="1"/>
  <c r="I18"/>
  <c r="I19"/>
  <c r="J19"/>
  <c r="K19"/>
  <c r="L19"/>
  <c r="I20"/>
  <c r="I17"/>
  <c r="AG10"/>
  <c r="AF12"/>
  <c r="AR13"/>
  <c r="AG13"/>
  <c r="AG11"/>
  <c r="AH13"/>
  <c r="AH11"/>
  <c r="AE13"/>
  <c r="AR10"/>
  <c r="AF13"/>
  <c r="AF11"/>
  <c r="AH10"/>
  <c r="AG12"/>
  <c r="AR11"/>
  <c r="AE10"/>
  <c r="AH12"/>
  <c r="AF10"/>
  <c r="AE12"/>
  <c r="AE11"/>
  <c r="AR15"/>
  <c r="AS10"/>
  <c r="AT10"/>
  <c r="AQ17"/>
  <c r="AR17"/>
  <c r="M20" l="1"/>
  <c r="L17"/>
  <c r="K17"/>
  <c r="J17"/>
  <c r="N18"/>
  <c r="N20"/>
  <c r="AL11"/>
  <c r="AK12"/>
  <c r="AJ13"/>
  <c r="AJ10"/>
  <c r="AK11"/>
  <c r="AJ12"/>
  <c r="AI13"/>
  <c r="AI10"/>
  <c r="J18"/>
  <c r="AJ11"/>
  <c r="AI12"/>
  <c r="AL13"/>
  <c r="AL10"/>
  <c r="J20"/>
  <c r="AI11"/>
  <c r="AL12"/>
  <c r="AK13"/>
  <c r="AK10"/>
  <c r="AM11"/>
  <c r="AM10"/>
  <c r="AS11"/>
  <c r="AS15"/>
  <c r="AA14"/>
  <c r="AS13"/>
  <c r="AS17" s="1"/>
  <c r="AN13"/>
  <c r="AB17" s="1"/>
  <c r="AF17" s="1"/>
  <c r="AN12"/>
  <c r="AB16" s="1"/>
  <c r="AF16" s="1"/>
  <c r="AN11"/>
  <c r="AB15" s="1"/>
  <c r="AF15" s="1"/>
  <c r="AN10"/>
  <c r="AB14" s="1"/>
  <c r="AF14" s="1"/>
  <c r="AM12"/>
  <c r="AM13"/>
  <c r="AA15"/>
  <c r="AE15" s="1"/>
  <c r="AP13"/>
  <c r="AP12"/>
  <c r="AD16" s="1"/>
  <c r="AH16" s="1"/>
  <c r="AP11"/>
  <c r="AP10"/>
  <c r="AD14" s="1"/>
  <c r="AH14" s="1"/>
  <c r="AO13"/>
  <c r="AC17" s="1"/>
  <c r="AO12"/>
  <c r="AC16" s="1"/>
  <c r="AG16" s="1"/>
  <c r="AO11"/>
  <c r="AC15" s="1"/>
  <c r="AO10"/>
  <c r="AC14" s="1"/>
  <c r="AG14" s="1"/>
  <c r="AI16" l="1"/>
  <c r="AJ16"/>
  <c r="AJ14"/>
  <c r="AL16"/>
  <c r="AL15"/>
  <c r="AK14"/>
  <c r="AL14"/>
  <c r="O20"/>
  <c r="O18"/>
  <c r="AK17"/>
  <c r="K20"/>
  <c r="K18"/>
  <c r="AI15"/>
  <c r="AG17"/>
  <c r="AT13"/>
  <c r="AT17"/>
  <c r="AD17"/>
  <c r="AE14"/>
  <c r="AG15"/>
  <c r="AT11"/>
  <c r="AT15" s="1"/>
  <c r="AQ16"/>
  <c r="AD15"/>
  <c r="AQ20"/>
  <c r="AR16"/>
  <c r="AR20" s="1"/>
  <c r="AS16"/>
  <c r="AS20"/>
  <c r="AT16"/>
  <c r="AQ19"/>
  <c r="AR19" s="1"/>
  <c r="AT20"/>
  <c r="AS19"/>
  <c r="AQ23"/>
  <c r="AR23" s="1"/>
  <c r="AT19"/>
  <c r="AS23"/>
  <c r="AT23"/>
  <c r="AI14" l="1"/>
  <c r="H23"/>
  <c r="G23"/>
  <c r="T18"/>
  <c r="F23"/>
  <c r="S18"/>
  <c r="E23"/>
  <c r="R18"/>
  <c r="T19"/>
  <c r="Q18"/>
  <c r="S19"/>
  <c r="P19"/>
  <c r="R19"/>
  <c r="O19"/>
  <c r="N19"/>
  <c r="Q19"/>
  <c r="P18"/>
  <c r="M19"/>
  <c r="P20"/>
  <c r="L18"/>
  <c r="L20"/>
  <c r="AJ15"/>
  <c r="AL17"/>
  <c r="AP14"/>
  <c r="AP15"/>
  <c r="AD19" s="1"/>
  <c r="AP16"/>
  <c r="AD20" s="1"/>
  <c r="AP17"/>
  <c r="AD21" s="1"/>
  <c r="AA16"/>
  <c r="AE16" s="1"/>
  <c r="AA17"/>
  <c r="AE17" s="1"/>
  <c r="AH21"/>
  <c r="AH19"/>
  <c r="AQ14"/>
  <c r="AR14"/>
  <c r="AS14"/>
  <c r="AH20"/>
  <c r="AH17"/>
  <c r="AH15"/>
  <c r="AQ18"/>
  <c r="AQ22" s="1"/>
  <c r="AR18"/>
  <c r="AQ26"/>
  <c r="AT14"/>
  <c r="AQ21"/>
  <c r="AR21" s="1"/>
  <c r="AD18"/>
  <c r="AS21"/>
  <c r="AR22"/>
  <c r="AS18"/>
  <c r="AT21"/>
  <c r="AR26"/>
  <c r="AT18"/>
  <c r="AS22"/>
  <c r="AQ24"/>
  <c r="AR24" s="1"/>
  <c r="AQ25"/>
  <c r="AT22"/>
  <c r="AS26"/>
  <c r="AS24"/>
  <c r="AR25"/>
  <c r="AQ29"/>
  <c r="AT26"/>
  <c r="AT24"/>
  <c r="AS25"/>
  <c r="AR29"/>
  <c r="AQ33"/>
  <c r="AQ27"/>
  <c r="AR27" s="1"/>
  <c r="AT25"/>
  <c r="AS29"/>
  <c r="AR33"/>
  <c r="AS27"/>
  <c r="AT29"/>
  <c r="AQ28"/>
  <c r="AS33"/>
  <c r="AT27"/>
  <c r="AQ32"/>
  <c r="AT33"/>
  <c r="AR28"/>
  <c r="AQ30"/>
  <c r="AR30" s="1"/>
  <c r="AQ36"/>
  <c r="AS28"/>
  <c r="AR32"/>
  <c r="AS30"/>
  <c r="AT28"/>
  <c r="AS32"/>
  <c r="AR36"/>
  <c r="AT30"/>
  <c r="AT32"/>
  <c r="AQ31"/>
  <c r="AS36"/>
  <c r="AQ37"/>
  <c r="AR37" s="1"/>
  <c r="AT36"/>
  <c r="AQ35"/>
  <c r="AR31"/>
  <c r="AS37"/>
  <c r="AQ39"/>
  <c r="AS31"/>
  <c r="AR35"/>
  <c r="AT37"/>
  <c r="AT31"/>
  <c r="AS35"/>
  <c r="AR39"/>
  <c r="AQ40"/>
  <c r="AR40" s="1"/>
  <c r="AT35"/>
  <c r="AQ34"/>
  <c r="AS39"/>
  <c r="AS40"/>
  <c r="AT39"/>
  <c r="AQ38"/>
  <c r="AR34"/>
  <c r="AT40"/>
  <c r="AQ42"/>
  <c r="AS34"/>
  <c r="AR38"/>
  <c r="AQ43"/>
  <c r="AR43" s="1"/>
  <c r="AT34"/>
  <c r="AS38"/>
  <c r="AR42"/>
  <c r="AS43"/>
  <c r="AT38"/>
  <c r="AQ41"/>
  <c r="AS42"/>
  <c r="AT43"/>
  <c r="AT42"/>
  <c r="AQ45"/>
  <c r="AR41"/>
  <c r="AQ46"/>
  <c r="AR46" s="1"/>
  <c r="AS46" s="1"/>
  <c r="AT46"/>
  <c r="AQ49"/>
  <c r="AS41"/>
  <c r="AR45"/>
  <c r="AT41"/>
  <c r="AS45"/>
  <c r="AR49"/>
  <c r="AQ44"/>
  <c r="AT45"/>
  <c r="AS49"/>
  <c r="AR44"/>
  <c r="AQ48"/>
  <c r="AT49"/>
  <c r="AS44"/>
  <c r="AR48"/>
  <c r="AT44"/>
  <c r="AS48"/>
  <c r="AQ47"/>
  <c r="AT48"/>
  <c r="AJ17" l="1"/>
  <c r="AK16"/>
  <c r="P27"/>
  <c r="O27"/>
  <c r="N27"/>
  <c r="M27"/>
  <c r="L28"/>
  <c r="K28"/>
  <c r="J28"/>
  <c r="M28"/>
  <c r="P29"/>
  <c r="O29"/>
  <c r="I28"/>
  <c r="L29"/>
  <c r="N29"/>
  <c r="K29"/>
  <c r="H29"/>
  <c r="M29"/>
  <c r="P30"/>
  <c r="J29"/>
  <c r="G29"/>
  <c r="O30"/>
  <c r="I29"/>
  <c r="L30"/>
  <c r="F29"/>
  <c r="N30"/>
  <c r="K30"/>
  <c r="H30"/>
  <c r="E29"/>
  <c r="J30"/>
  <c r="G30"/>
  <c r="T25"/>
  <c r="M30"/>
  <c r="F30"/>
  <c r="S25"/>
  <c r="I30"/>
  <c r="L27"/>
  <c r="K27"/>
  <c r="R25"/>
  <c r="H27"/>
  <c r="E30"/>
  <c r="J27"/>
  <c r="G27"/>
  <c r="Q25"/>
  <c r="T22"/>
  <c r="F27"/>
  <c r="S22"/>
  <c r="P22"/>
  <c r="I27"/>
  <c r="R22"/>
  <c r="O22"/>
  <c r="H28"/>
  <c r="E27"/>
  <c r="G28"/>
  <c r="N22"/>
  <c r="T23"/>
  <c r="Q22"/>
  <c r="F28"/>
  <c r="S23"/>
  <c r="M22"/>
  <c r="P23"/>
  <c r="R23"/>
  <c r="O23"/>
  <c r="L23"/>
  <c r="E28"/>
  <c r="N23"/>
  <c r="K23"/>
  <c r="Q23"/>
  <c r="T24"/>
  <c r="S24"/>
  <c r="J23"/>
  <c r="P24"/>
  <c r="M23"/>
  <c r="R24"/>
  <c r="O24"/>
  <c r="I23"/>
  <c r="L24"/>
  <c r="N24"/>
  <c r="K24"/>
  <c r="H24"/>
  <c r="Q24"/>
  <c r="J24"/>
  <c r="G24"/>
  <c r="M24"/>
  <c r="P25"/>
  <c r="O25"/>
  <c r="F24"/>
  <c r="L25"/>
  <c r="I24"/>
  <c r="N25"/>
  <c r="K25"/>
  <c r="E24"/>
  <c r="H25"/>
  <c r="M25"/>
  <c r="J25"/>
  <c r="G25"/>
  <c r="T20"/>
  <c r="I25"/>
  <c r="L22"/>
  <c r="F25"/>
  <c r="S20"/>
  <c r="H22"/>
  <c r="E25"/>
  <c r="R20"/>
  <c r="K22"/>
  <c r="J22"/>
  <c r="T17"/>
  <c r="Q20"/>
  <c r="G22"/>
  <c r="F22"/>
  <c r="P17"/>
  <c r="S17"/>
  <c r="I22"/>
  <c r="R17"/>
  <c r="O17"/>
  <c r="E22"/>
  <c r="N17"/>
  <c r="Q17"/>
  <c r="M17"/>
  <c r="AK15"/>
  <c r="AK19"/>
  <c r="AI17"/>
  <c r="AI21"/>
  <c r="AJ20"/>
  <c r="AN14"/>
  <c r="AB18" s="1"/>
  <c r="AN15"/>
  <c r="AB19" s="1"/>
  <c r="AF19" s="1"/>
  <c r="AN16"/>
  <c r="AB20" s="1"/>
  <c r="AF20" s="1"/>
  <c r="AN17"/>
  <c r="AB21" s="1"/>
  <c r="AF21" s="1"/>
  <c r="AO17"/>
  <c r="AC21" s="1"/>
  <c r="AG21" s="1"/>
  <c r="AO16"/>
  <c r="AC20" s="1"/>
  <c r="AG20" s="1"/>
  <c r="AO15"/>
  <c r="AC19" s="1"/>
  <c r="AG19" s="1"/>
  <c r="AO14"/>
  <c r="AC18" s="1"/>
  <c r="AM14"/>
  <c r="AA18" s="1"/>
  <c r="AM15"/>
  <c r="AA19" s="1"/>
  <c r="AE19" s="1"/>
  <c r="AM16"/>
  <c r="AA20" s="1"/>
  <c r="AE20" s="1"/>
  <c r="AM17"/>
  <c r="AA21" s="1"/>
  <c r="AE21" s="1"/>
  <c r="AG18"/>
  <c r="AR47"/>
  <c r="AH18"/>
  <c r="AF18"/>
  <c r="AE18"/>
  <c r="AJ21" l="1"/>
  <c r="AK20"/>
  <c r="AL19"/>
  <c r="AJ19"/>
  <c r="AI20"/>
  <c r="AL21"/>
  <c r="AK21"/>
  <c r="AL20"/>
  <c r="AI19"/>
  <c r="AI18"/>
  <c r="AJ18"/>
  <c r="AL18"/>
  <c r="N28"/>
  <c r="AK18"/>
  <c r="AN18"/>
  <c r="AB22" s="1"/>
  <c r="AF22" s="1"/>
  <c r="AN19"/>
  <c r="AB23" s="1"/>
  <c r="AF23" s="1"/>
  <c r="AN20"/>
  <c r="AB24" s="1"/>
  <c r="AF24" s="1"/>
  <c r="AN21"/>
  <c r="AB25" s="1"/>
  <c r="AF25" s="1"/>
  <c r="AM21"/>
  <c r="AA25" s="1"/>
  <c r="AE25" s="1"/>
  <c r="AM20"/>
  <c r="AA24" s="1"/>
  <c r="AE24" s="1"/>
  <c r="AM19"/>
  <c r="AA23" s="1"/>
  <c r="AE23" s="1"/>
  <c r="AM18"/>
  <c r="AA22" s="1"/>
  <c r="AE22" s="1"/>
  <c r="AO18"/>
  <c r="AC22" s="1"/>
  <c r="AG22" s="1"/>
  <c r="AO19"/>
  <c r="AC23" s="1"/>
  <c r="AG23" s="1"/>
  <c r="AO20"/>
  <c r="AC24" s="1"/>
  <c r="AG24" s="1"/>
  <c r="AO21"/>
  <c r="AC25" s="1"/>
  <c r="AG25" s="1"/>
  <c r="AP18"/>
  <c r="AD22" s="1"/>
  <c r="AH22" s="1"/>
  <c r="AP19"/>
  <c r="AD23" s="1"/>
  <c r="AH23" s="1"/>
  <c r="AP20"/>
  <c r="AD24" s="1"/>
  <c r="AH24" s="1"/>
  <c r="AP21"/>
  <c r="AD25" s="1"/>
  <c r="AH25" s="1"/>
  <c r="AS47"/>
  <c r="AI25" l="1"/>
  <c r="AJ24"/>
  <c r="AK23"/>
  <c r="AL22"/>
  <c r="AL25"/>
  <c r="AI24"/>
  <c r="AJ23"/>
  <c r="AK22"/>
  <c r="AI22"/>
  <c r="AL23"/>
  <c r="AK24"/>
  <c r="AJ25"/>
  <c r="AK25"/>
  <c r="AL24"/>
  <c r="AI23"/>
  <c r="AJ22"/>
  <c r="O28"/>
  <c r="AN22"/>
  <c r="AB26" s="1"/>
  <c r="AF26" s="1"/>
  <c r="AN23"/>
  <c r="AB27" s="1"/>
  <c r="AF27" s="1"/>
  <c r="AN24"/>
  <c r="AB28" s="1"/>
  <c r="AF28" s="1"/>
  <c r="AN25"/>
  <c r="AB29" s="1"/>
  <c r="AF29" s="1"/>
  <c r="AM22"/>
  <c r="AA26" s="1"/>
  <c r="AE26" s="1"/>
  <c r="AM23"/>
  <c r="AA27" s="1"/>
  <c r="AE27" s="1"/>
  <c r="AM24"/>
  <c r="AA28" s="1"/>
  <c r="AE28" s="1"/>
  <c r="AM25"/>
  <c r="AA29" s="1"/>
  <c r="AE29" s="1"/>
  <c r="AP22"/>
  <c r="AD26" s="1"/>
  <c r="AH26" s="1"/>
  <c r="AP23"/>
  <c r="AD27" s="1"/>
  <c r="AH27" s="1"/>
  <c r="AP24"/>
  <c r="AD28" s="1"/>
  <c r="AH28" s="1"/>
  <c r="AP25"/>
  <c r="AD29" s="1"/>
  <c r="AH29" s="1"/>
  <c r="AO22"/>
  <c r="AC26" s="1"/>
  <c r="AG26" s="1"/>
  <c r="AO23"/>
  <c r="AC27" s="1"/>
  <c r="AG27" s="1"/>
  <c r="AO24"/>
  <c r="AC28" s="1"/>
  <c r="AG28" s="1"/>
  <c r="AO25"/>
  <c r="AC29" s="1"/>
  <c r="AG29" s="1"/>
  <c r="AT47"/>
  <c r="AL29" l="1"/>
  <c r="AI28"/>
  <c r="AJ27"/>
  <c r="AK26"/>
  <c r="AI29"/>
  <c r="AJ28"/>
  <c r="AK27"/>
  <c r="AL26"/>
  <c r="AJ29"/>
  <c r="AK28"/>
  <c r="AL27"/>
  <c r="AI26"/>
  <c r="AK29"/>
  <c r="AL28"/>
  <c r="AI27"/>
  <c r="AJ26"/>
  <c r="P28"/>
  <c r="AP26"/>
  <c r="AD30" s="1"/>
  <c r="AH30" s="1"/>
  <c r="AP27"/>
  <c r="AD31" s="1"/>
  <c r="AH31" s="1"/>
  <c r="AP28"/>
  <c r="AD32" s="1"/>
  <c r="AH32" s="1"/>
  <c r="AP29"/>
  <c r="AD33" s="1"/>
  <c r="AH33" s="1"/>
  <c r="AM26"/>
  <c r="AA30" s="1"/>
  <c r="AE30" s="1"/>
  <c r="AM27"/>
  <c r="AA31" s="1"/>
  <c r="AE31" s="1"/>
  <c r="AM28"/>
  <c r="AA32" s="1"/>
  <c r="AE32" s="1"/>
  <c r="AM29"/>
  <c r="AA33" s="1"/>
  <c r="AE33" s="1"/>
  <c r="AN26"/>
  <c r="AB30" s="1"/>
  <c r="AF30" s="1"/>
  <c r="AN27"/>
  <c r="AB31" s="1"/>
  <c r="AF31" s="1"/>
  <c r="AN28"/>
  <c r="AB32" s="1"/>
  <c r="AF32" s="1"/>
  <c r="AN29"/>
  <c r="AB33" s="1"/>
  <c r="AF33" s="1"/>
  <c r="AO26"/>
  <c r="AC30" s="1"/>
  <c r="AG30" s="1"/>
  <c r="AO27"/>
  <c r="AC31" s="1"/>
  <c r="AG31" s="1"/>
  <c r="AO28"/>
  <c r="AC32" s="1"/>
  <c r="AG32" s="1"/>
  <c r="AO29"/>
  <c r="AC33" s="1"/>
  <c r="AG33" s="1"/>
  <c r="AL33" l="1"/>
  <c r="AI32"/>
  <c r="AJ31"/>
  <c r="AK30"/>
  <c r="AK33"/>
  <c r="AL32"/>
  <c r="AI31"/>
  <c r="AJ30"/>
  <c r="AJ33"/>
  <c r="AK32"/>
  <c r="AL31"/>
  <c r="AI30"/>
  <c r="AI33"/>
  <c r="AJ32"/>
  <c r="AK31"/>
  <c r="AL30"/>
  <c r="AP30"/>
  <c r="AD34" s="1"/>
  <c r="AH34" s="1"/>
  <c r="AP31"/>
  <c r="AD35" s="1"/>
  <c r="AH35" s="1"/>
  <c r="AP32"/>
  <c r="AD36" s="1"/>
  <c r="AH36" s="1"/>
  <c r="AP33"/>
  <c r="AD37" s="1"/>
  <c r="AH37" s="1"/>
  <c r="AO30"/>
  <c r="AC34" s="1"/>
  <c r="AG34" s="1"/>
  <c r="AO31"/>
  <c r="AC35" s="1"/>
  <c r="AG35" s="1"/>
  <c r="AO32"/>
  <c r="AC36" s="1"/>
  <c r="AG36" s="1"/>
  <c r="AO33"/>
  <c r="AC37" s="1"/>
  <c r="AG37" s="1"/>
  <c r="AN30"/>
  <c r="AB34" s="1"/>
  <c r="AF34" s="1"/>
  <c r="AN31"/>
  <c r="AB35" s="1"/>
  <c r="AF35" s="1"/>
  <c r="AN32"/>
  <c r="AB36" s="1"/>
  <c r="AF36" s="1"/>
  <c r="AN33"/>
  <c r="AB37" s="1"/>
  <c r="AF37" s="1"/>
  <c r="AM30"/>
  <c r="AA34" s="1"/>
  <c r="AE34" s="1"/>
  <c r="AM31"/>
  <c r="AA35" s="1"/>
  <c r="AE35" s="1"/>
  <c r="AM32"/>
  <c r="AA36" s="1"/>
  <c r="AE36" s="1"/>
  <c r="AM33"/>
  <c r="AA37" s="1"/>
  <c r="AE37" s="1"/>
  <c r="AJ37" l="1"/>
  <c r="AK36"/>
  <c r="AL35"/>
  <c r="AI34"/>
  <c r="AK37"/>
  <c r="AL36"/>
  <c r="AI35"/>
  <c r="AJ34"/>
  <c r="AL37"/>
  <c r="AI36"/>
  <c r="AJ35"/>
  <c r="AK34"/>
  <c r="AI37"/>
  <c r="AJ36"/>
  <c r="AK35"/>
  <c r="AL34"/>
  <c r="AN34"/>
  <c r="AB38" s="1"/>
  <c r="AF38" s="1"/>
  <c r="AN35"/>
  <c r="AB39" s="1"/>
  <c r="AF39" s="1"/>
  <c r="AN36"/>
  <c r="AB40" s="1"/>
  <c r="AF40" s="1"/>
  <c r="AN37"/>
  <c r="AB41" s="1"/>
  <c r="AF41" s="1"/>
  <c r="AO34"/>
  <c r="AC38" s="1"/>
  <c r="AG38" s="1"/>
  <c r="AO35"/>
  <c r="AC39" s="1"/>
  <c r="AG39" s="1"/>
  <c r="AO36"/>
  <c r="AC40" s="1"/>
  <c r="AG40" s="1"/>
  <c r="AO37"/>
  <c r="AC41" s="1"/>
  <c r="AG41" s="1"/>
  <c r="AP34"/>
  <c r="AD38" s="1"/>
  <c r="AH38" s="1"/>
  <c r="AP35"/>
  <c r="AD39" s="1"/>
  <c r="AH39" s="1"/>
  <c r="AP36"/>
  <c r="AD40" s="1"/>
  <c r="AH40" s="1"/>
  <c r="AP37"/>
  <c r="AD41" s="1"/>
  <c r="AH41" s="1"/>
  <c r="AM34"/>
  <c r="AA38" s="1"/>
  <c r="AE38" s="1"/>
  <c r="AM35"/>
  <c r="AA39" s="1"/>
  <c r="AE39" s="1"/>
  <c r="AM36"/>
  <c r="AA40" s="1"/>
  <c r="AE40" s="1"/>
  <c r="AM37"/>
  <c r="AA41" s="1"/>
  <c r="AE41" s="1"/>
  <c r="AJ41" l="1"/>
  <c r="AK40"/>
  <c r="AL39"/>
  <c r="AI38"/>
  <c r="AI41"/>
  <c r="AJ40"/>
  <c r="AK39"/>
  <c r="AL38"/>
  <c r="AL41"/>
  <c r="AI40"/>
  <c r="AJ39"/>
  <c r="AK38"/>
  <c r="AK41"/>
  <c r="AL40"/>
  <c r="AI39"/>
  <c r="AJ38"/>
  <c r="AN38"/>
  <c r="AB42" s="1"/>
  <c r="AF42" s="1"/>
  <c r="AN39"/>
  <c r="AB43" s="1"/>
  <c r="AF43" s="1"/>
  <c r="AN40"/>
  <c r="AB44" s="1"/>
  <c r="AF44" s="1"/>
  <c r="AN41"/>
  <c r="AB45" s="1"/>
  <c r="AF45" s="1"/>
  <c r="AM38"/>
  <c r="AA42" s="1"/>
  <c r="AE42" s="1"/>
  <c r="AM39"/>
  <c r="AA43" s="1"/>
  <c r="AE43" s="1"/>
  <c r="AM40"/>
  <c r="AA44" s="1"/>
  <c r="AE44" s="1"/>
  <c r="AM41"/>
  <c r="AA45" s="1"/>
  <c r="AE45" s="1"/>
  <c r="AP38"/>
  <c r="AD42" s="1"/>
  <c r="AH42" s="1"/>
  <c r="AP39"/>
  <c r="AD43" s="1"/>
  <c r="AH43" s="1"/>
  <c r="AP40"/>
  <c r="AD44" s="1"/>
  <c r="AH44" s="1"/>
  <c r="AP41"/>
  <c r="AD45" s="1"/>
  <c r="AH45" s="1"/>
  <c r="AO38"/>
  <c r="AC42" s="1"/>
  <c r="AG42" s="1"/>
  <c r="AO39"/>
  <c r="AC43" s="1"/>
  <c r="AG43" s="1"/>
  <c r="AO40"/>
  <c r="AC44" s="1"/>
  <c r="AG44" s="1"/>
  <c r="AO41"/>
  <c r="AC45" s="1"/>
  <c r="AG45" s="1"/>
  <c r="AL45" l="1"/>
  <c r="AI44"/>
  <c r="AJ43"/>
  <c r="AK42"/>
  <c r="AI45"/>
  <c r="AJ44"/>
  <c r="AK43"/>
  <c r="AL42"/>
  <c r="AJ45"/>
  <c r="AK44"/>
  <c r="AL43"/>
  <c r="AI42"/>
  <c r="AK45"/>
  <c r="AL44"/>
  <c r="AI43"/>
  <c r="AJ42"/>
  <c r="AP42"/>
  <c r="AD46" s="1"/>
  <c r="AH46" s="1"/>
  <c r="AP43"/>
  <c r="AD47" s="1"/>
  <c r="AH47" s="1"/>
  <c r="AP44"/>
  <c r="AD48" s="1"/>
  <c r="AH48" s="1"/>
  <c r="AP45"/>
  <c r="AD49" s="1"/>
  <c r="AH49" s="1"/>
  <c r="AM42"/>
  <c r="AA46" s="1"/>
  <c r="AE46" s="1"/>
  <c r="AM43"/>
  <c r="AA47" s="1"/>
  <c r="AE47" s="1"/>
  <c r="AM44"/>
  <c r="AA48" s="1"/>
  <c r="AE48" s="1"/>
  <c r="AM45"/>
  <c r="AA49" s="1"/>
  <c r="AE49" s="1"/>
  <c r="AN42"/>
  <c r="AB46" s="1"/>
  <c r="AF46" s="1"/>
  <c r="AN43"/>
  <c r="AB47" s="1"/>
  <c r="AF47" s="1"/>
  <c r="AN44"/>
  <c r="AB48" s="1"/>
  <c r="AF48" s="1"/>
  <c r="AN45"/>
  <c r="AB49" s="1"/>
  <c r="AF49" s="1"/>
  <c r="AO42"/>
  <c r="AC46" s="1"/>
  <c r="AG46" s="1"/>
  <c r="AO43"/>
  <c r="AC47" s="1"/>
  <c r="AG47" s="1"/>
  <c r="AO44"/>
  <c r="AC48" s="1"/>
  <c r="AG48" s="1"/>
  <c r="AO45"/>
  <c r="AC49" s="1"/>
  <c r="AG49" s="1"/>
  <c r="AL49" l="1"/>
  <c r="AI48"/>
  <c r="AJ47"/>
  <c r="AK46"/>
  <c r="AK49"/>
  <c r="AL48"/>
  <c r="AI47"/>
  <c r="AJ46"/>
  <c r="AJ49"/>
  <c r="AK48"/>
  <c r="AL47"/>
  <c r="AI46"/>
  <c r="AI49"/>
  <c r="AJ48"/>
  <c r="AK47"/>
  <c r="AL46"/>
  <c r="AA52"/>
  <c r="AC50"/>
  <c r="AD52"/>
  <c r="AB50"/>
  <c r="AC52"/>
  <c r="AA50"/>
  <c r="AB52"/>
  <c r="AD50"/>
  <c r="AD53"/>
  <c r="AB51"/>
  <c r="AC53"/>
  <c r="AA51"/>
  <c r="AB53"/>
  <c r="AD51"/>
  <c r="AA53"/>
  <c r="AC51"/>
</calcChain>
</file>

<file path=xl/sharedStrings.xml><?xml version="1.0" encoding="utf-8"?>
<sst xmlns="http://schemas.openxmlformats.org/spreadsheetml/2006/main" count="252" uniqueCount="212">
  <si>
    <t>Formato AES</t>
  </si>
  <si>
    <t xml:space="preserve">Responsable: </t>
  </si>
  <si>
    <t>Claves</t>
  </si>
  <si>
    <t>Clave</t>
  </si>
  <si>
    <t>Subclave 1</t>
  </si>
  <si>
    <t>Subclave 2</t>
  </si>
  <si>
    <t>Subclave 3</t>
  </si>
  <si>
    <t>Subclave 4</t>
  </si>
  <si>
    <t>Subclave 5</t>
  </si>
  <si>
    <t>Subclave 6</t>
  </si>
  <si>
    <t>Subclave 7</t>
  </si>
  <si>
    <t>Subclave 8</t>
  </si>
  <si>
    <t>Subclave 9</t>
  </si>
  <si>
    <t>Subclave 10</t>
  </si>
  <si>
    <t xml:space="preserve">Texto Plano: </t>
  </si>
  <si>
    <t>Clave:</t>
  </si>
  <si>
    <t>ronda</t>
  </si>
  <si>
    <t>clave de ronda</t>
  </si>
  <si>
    <t>entrada</t>
  </si>
  <si>
    <t>salida</t>
  </si>
  <si>
    <t>MC (3)</t>
  </si>
  <si>
    <t>SR (2)</t>
  </si>
  <si>
    <t>SB (1)</t>
  </si>
  <si>
    <t>ARK (4,5)</t>
  </si>
  <si>
    <t>Ronda inicial</t>
  </si>
  <si>
    <t>9 rondas principales</t>
  </si>
  <si>
    <t>Ronda final</t>
  </si>
  <si>
    <t xml:space="preserve">Texto Cifrado: </t>
  </si>
  <si>
    <t>Gustavo Toledo Cruz</t>
  </si>
  <si>
    <t>notafragantworld</t>
  </si>
  <si>
    <t>E368CBF1D3783680BF2AAC983A3A41D1</t>
  </si>
  <si>
    <t>6E</t>
  </si>
  <si>
    <t>6F</t>
  </si>
  <si>
    <t>6C</t>
  </si>
  <si>
    <t>E3</t>
  </si>
  <si>
    <t>CB</t>
  </si>
  <si>
    <t>F1</t>
  </si>
  <si>
    <t>D3</t>
  </si>
  <si>
    <t>BF</t>
  </si>
  <si>
    <t>2A</t>
  </si>
  <si>
    <t>AC</t>
  </si>
  <si>
    <t>3A</t>
  </si>
  <si>
    <t>D1</t>
  </si>
  <si>
    <t>D</t>
  </si>
  <si>
    <t>7c</t>
  </si>
  <si>
    <t>7b</t>
  </si>
  <si>
    <t>f2</t>
  </si>
  <si>
    <t>6b</t>
  </si>
  <si>
    <t>6f</t>
  </si>
  <si>
    <t>c5</t>
  </si>
  <si>
    <t>2b</t>
  </si>
  <si>
    <t>fe</t>
  </si>
  <si>
    <t>d7</t>
  </si>
  <si>
    <t>ab</t>
  </si>
  <si>
    <t>ca</t>
  </si>
  <si>
    <t>c9</t>
  </si>
  <si>
    <t>7d</t>
  </si>
  <si>
    <t>fa</t>
  </si>
  <si>
    <t>f0</t>
  </si>
  <si>
    <t>ad</t>
  </si>
  <si>
    <t>d4</t>
  </si>
  <si>
    <t>a2</t>
  </si>
  <si>
    <t>af</t>
  </si>
  <si>
    <t>9c</t>
  </si>
  <si>
    <t>a4</t>
  </si>
  <si>
    <t>c0</t>
  </si>
  <si>
    <t>b7</t>
  </si>
  <si>
    <t>fd</t>
  </si>
  <si>
    <t>3f</t>
  </si>
  <si>
    <t>f7</t>
  </si>
  <si>
    <t>cc</t>
  </si>
  <si>
    <t>a5</t>
  </si>
  <si>
    <t>e5</t>
  </si>
  <si>
    <t>f1</t>
  </si>
  <si>
    <t>d8</t>
  </si>
  <si>
    <t>c7</t>
  </si>
  <si>
    <t>c3</t>
  </si>
  <si>
    <t>9a</t>
  </si>
  <si>
    <t>e2</t>
  </si>
  <si>
    <t>eb</t>
  </si>
  <si>
    <t>b2</t>
  </si>
  <si>
    <t>2c</t>
  </si>
  <si>
    <t>1a</t>
  </si>
  <si>
    <t>1b</t>
  </si>
  <si>
    <t>6e</t>
  </si>
  <si>
    <t>5a</t>
  </si>
  <si>
    <t>a0</t>
  </si>
  <si>
    <t>3b</t>
  </si>
  <si>
    <t>d6</t>
  </si>
  <si>
    <t>b3</t>
  </si>
  <si>
    <t>e3</t>
  </si>
  <si>
    <t>2f</t>
  </si>
  <si>
    <t>d1</t>
  </si>
  <si>
    <t>ed</t>
  </si>
  <si>
    <t>fc</t>
  </si>
  <si>
    <t>b1</t>
  </si>
  <si>
    <t>5b</t>
  </si>
  <si>
    <t>6a</t>
  </si>
  <si>
    <t>cb</t>
  </si>
  <si>
    <t>be</t>
  </si>
  <si>
    <t>4a</t>
  </si>
  <si>
    <t>4c</t>
  </si>
  <si>
    <t>cf</t>
  </si>
  <si>
    <t>d0</t>
  </si>
  <si>
    <t>ef</t>
  </si>
  <si>
    <t>aa</t>
  </si>
  <si>
    <t>fb</t>
  </si>
  <si>
    <t>4d</t>
  </si>
  <si>
    <t>f9</t>
  </si>
  <si>
    <t>7f</t>
  </si>
  <si>
    <t>3c</t>
  </si>
  <si>
    <t>9f</t>
  </si>
  <si>
    <t>a8</t>
  </si>
  <si>
    <t>a3</t>
  </si>
  <si>
    <t>8f</t>
  </si>
  <si>
    <t>9d</t>
  </si>
  <si>
    <t>f5</t>
  </si>
  <si>
    <t>bc</t>
  </si>
  <si>
    <t>b6</t>
  </si>
  <si>
    <t>da</t>
  </si>
  <si>
    <t>ff</t>
  </si>
  <si>
    <t>f3</t>
  </si>
  <si>
    <t>d2</t>
  </si>
  <si>
    <t>cd</t>
  </si>
  <si>
    <t>0c</t>
  </si>
  <si>
    <t>ec</t>
  </si>
  <si>
    <t>5f</t>
  </si>
  <si>
    <t>c4</t>
  </si>
  <si>
    <t>a7</t>
  </si>
  <si>
    <t>7e</t>
  </si>
  <si>
    <t>3d</t>
  </si>
  <si>
    <t>5d</t>
  </si>
  <si>
    <t>4f</t>
  </si>
  <si>
    <t>dc</t>
  </si>
  <si>
    <t>2a</t>
  </si>
  <si>
    <t>ee</t>
  </si>
  <si>
    <t>b8</t>
  </si>
  <si>
    <t>de</t>
  </si>
  <si>
    <t>5e</t>
  </si>
  <si>
    <t>0b</t>
  </si>
  <si>
    <t>db</t>
  </si>
  <si>
    <t>e0</t>
  </si>
  <si>
    <t>3a</t>
  </si>
  <si>
    <t>0a</t>
  </si>
  <si>
    <t>5c</t>
  </si>
  <si>
    <t>c2</t>
  </si>
  <si>
    <t>d3</t>
  </si>
  <si>
    <t>ac</t>
  </si>
  <si>
    <t>e4</t>
  </si>
  <si>
    <t>b0</t>
  </si>
  <si>
    <t>e7</t>
  </si>
  <si>
    <t>c8</t>
  </si>
  <si>
    <t>6d</t>
  </si>
  <si>
    <t>8d</t>
  </si>
  <si>
    <t>d5</t>
  </si>
  <si>
    <t>4e</t>
  </si>
  <si>
    <t>a9</t>
  </si>
  <si>
    <t>6c</t>
  </si>
  <si>
    <t>f4</t>
  </si>
  <si>
    <t>ea</t>
  </si>
  <si>
    <t>7a</t>
  </si>
  <si>
    <t>ae</t>
  </si>
  <si>
    <t>ba</t>
  </si>
  <si>
    <t>2e</t>
  </si>
  <si>
    <t>1c</t>
  </si>
  <si>
    <t>a6</t>
  </si>
  <si>
    <t>b4</t>
  </si>
  <si>
    <t>c6</t>
  </si>
  <si>
    <t>e8</t>
  </si>
  <si>
    <t>dd</t>
  </si>
  <si>
    <t>1f</t>
  </si>
  <si>
    <t>4b</t>
  </si>
  <si>
    <t>bd</t>
  </si>
  <si>
    <t>8b</t>
  </si>
  <si>
    <t>8a</t>
  </si>
  <si>
    <t>3e</t>
  </si>
  <si>
    <t>b5</t>
  </si>
  <si>
    <t>f6</t>
  </si>
  <si>
    <t>0e</t>
  </si>
  <si>
    <t>b9</t>
  </si>
  <si>
    <t>c1</t>
  </si>
  <si>
    <t>1d</t>
  </si>
  <si>
    <t>9e</t>
  </si>
  <si>
    <t>e1</t>
  </si>
  <si>
    <t>f8</t>
  </si>
  <si>
    <t>d9</t>
  </si>
  <si>
    <t>8e</t>
  </si>
  <si>
    <t>9b</t>
  </si>
  <si>
    <t>1e</t>
  </si>
  <si>
    <t>e9</t>
  </si>
  <si>
    <t>ce</t>
  </si>
  <si>
    <t>df</t>
  </si>
  <si>
    <t>8c</t>
  </si>
  <si>
    <t>a1</t>
  </si>
  <si>
    <t>0d</t>
  </si>
  <si>
    <t>bf</t>
  </si>
  <si>
    <t>e6</t>
  </si>
  <si>
    <t>2d</t>
  </si>
  <si>
    <t>0f</t>
  </si>
  <si>
    <t>bb</t>
  </si>
  <si>
    <t>A</t>
  </si>
  <si>
    <t>B</t>
  </si>
  <si>
    <t>C</t>
  </si>
  <si>
    <t>E</t>
  </si>
  <si>
    <t>F</t>
  </si>
  <si>
    <t>Rindjael SBOX</t>
  </si>
  <si>
    <t>Clave Ejercicio</t>
  </si>
  <si>
    <t>Clave de prueba</t>
  </si>
  <si>
    <t>Texto ejercicio</t>
  </si>
  <si>
    <t>Texto Prueba</t>
  </si>
  <si>
    <t>Mix Columns</t>
  </si>
  <si>
    <t>6D85907979D7340F326435878139192E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</si>
</sst>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6" xfId="0" applyBorder="1" applyAlignment="1" applyProtection="1">
      <protection locked="0"/>
    </xf>
    <xf numFmtId="0" fontId="0" fillId="0" borderId="7" xfId="0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9" xfId="0" applyBorder="1" applyAlignment="1" applyProtection="1">
      <protection locked="0"/>
    </xf>
    <xf numFmtId="0" fontId="0" fillId="0" borderId="0" xfId="0" applyProtection="1">
      <protection locked="0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 applyProtection="1">
      <protection locked="0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8" xfId="0" applyFont="1" applyBorder="1" applyAlignment="1" applyProtection="1">
      <alignment horizontal="center"/>
      <protection locked="0"/>
    </xf>
    <xf numFmtId="0" fontId="3" fillId="2" borderId="0" xfId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0" xfId="0" applyFont="1" applyAlignment="1">
      <alignment horizontal="left"/>
    </xf>
    <xf numFmtId="0" fontId="0" fillId="0" borderId="8" xfId="0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1" fillId="3" borderId="2" xfId="2" applyBorder="1" applyAlignment="1">
      <alignment horizontal="center" vertical="center" wrapText="1"/>
    </xf>
    <xf numFmtId="0" fontId="1" fillId="3" borderId="3" xfId="2" applyBorder="1" applyAlignment="1">
      <alignment horizontal="center" vertical="center" wrapText="1"/>
    </xf>
    <xf numFmtId="0" fontId="1" fillId="3" borderId="4" xfId="2" applyBorder="1" applyAlignment="1">
      <alignment horizontal="center" vertical="center" wrapText="1"/>
    </xf>
    <xf numFmtId="0" fontId="1" fillId="3" borderId="5" xfId="2" applyBorder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>
      <alignment horizontal="center" vertical="center" wrapText="1"/>
    </xf>
    <xf numFmtId="0" fontId="1" fillId="3" borderId="7" xfId="2" applyBorder="1" applyAlignment="1">
      <alignment horizontal="center" vertical="center" wrapText="1"/>
    </xf>
    <xf numFmtId="0" fontId="1" fillId="3" borderId="8" xfId="2" applyBorder="1" applyAlignment="1">
      <alignment horizontal="center" vertical="center" wrapText="1"/>
    </xf>
    <xf numFmtId="0" fontId="1" fillId="3" borderId="9" xfId="2" applyBorder="1" applyAlignment="1">
      <alignment horizontal="center" vertical="center" wrapText="1"/>
    </xf>
    <xf numFmtId="0" fontId="1" fillId="3" borderId="2" xfId="2" applyBorder="1" applyAlignment="1">
      <alignment horizontal="center"/>
    </xf>
    <xf numFmtId="0" fontId="1" fillId="3" borderId="3" xfId="2" applyBorder="1" applyAlignment="1">
      <alignment horizontal="center"/>
    </xf>
    <xf numFmtId="0" fontId="1" fillId="3" borderId="4" xfId="2" applyBorder="1" applyAlignment="1">
      <alignment horizontal="center"/>
    </xf>
    <xf numFmtId="0" fontId="1" fillId="3" borderId="5" xfId="2" applyBorder="1" applyAlignment="1">
      <alignment horizontal="center"/>
    </xf>
    <xf numFmtId="0" fontId="1" fillId="3" borderId="0" xfId="2" applyBorder="1" applyAlignment="1">
      <alignment horizontal="center"/>
    </xf>
    <xf numFmtId="0" fontId="1" fillId="3" borderId="6" xfId="2" applyBorder="1" applyAlignment="1">
      <alignment horizontal="center"/>
    </xf>
    <xf numFmtId="0" fontId="1" fillId="3" borderId="7" xfId="2" applyBorder="1" applyAlignment="1">
      <alignment horizontal="center"/>
    </xf>
    <xf numFmtId="0" fontId="1" fillId="3" borderId="8" xfId="2" applyBorder="1" applyAlignment="1">
      <alignment horizontal="center"/>
    </xf>
    <xf numFmtId="0" fontId="1" fillId="3" borderId="9" xfId="2" applyBorder="1" applyAlignment="1">
      <alignment horizontal="center"/>
    </xf>
    <xf numFmtId="0" fontId="1" fillId="3" borderId="3" xfId="2" applyBorder="1"/>
    <xf numFmtId="0" fontId="1" fillId="3" borderId="4" xfId="2" applyBorder="1"/>
    <xf numFmtId="0" fontId="1" fillId="3" borderId="5" xfId="2" applyBorder="1"/>
    <xf numFmtId="0" fontId="1" fillId="3" borderId="0" xfId="2"/>
    <xf numFmtId="0" fontId="1" fillId="3" borderId="6" xfId="2" applyBorder="1"/>
    <xf numFmtId="0" fontId="1" fillId="3" borderId="7" xfId="2" applyBorder="1"/>
    <xf numFmtId="0" fontId="1" fillId="3" borderId="8" xfId="2" applyBorder="1"/>
    <xf numFmtId="0" fontId="1" fillId="3" borderId="9" xfId="2" applyBorder="1"/>
  </cellXfs>
  <cellStyles count="3">
    <cellStyle name="20% - Énfasis2" xfId="2" builtinId="34"/>
    <cellStyle name="Énfasis2" xfId="1" builtinId="3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66675</xdr:colOff>
      <xdr:row>6</xdr:row>
      <xdr:rowOff>142875</xdr:rowOff>
    </xdr:from>
    <xdr:to>
      <xdr:col>37</xdr:col>
      <xdr:colOff>171450</xdr:colOff>
      <xdr:row>7</xdr:row>
      <xdr:rowOff>57150</xdr:rowOff>
    </xdr:to>
    <xdr:sp macro="" textlink="">
      <xdr:nvSpPr>
        <xdr:cNvPr id="2" name="1 Flecha derecha"/>
        <xdr:cNvSpPr/>
      </xdr:nvSpPr>
      <xdr:spPr>
        <a:xfrm>
          <a:off x="8305800" y="1285875"/>
          <a:ext cx="1905000" cy="104775"/>
        </a:xfrm>
        <a:prstGeom prst="righ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CO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38</xdr:col>
      <xdr:colOff>9525</xdr:colOff>
      <xdr:row>46</xdr:row>
      <xdr:rowOff>142876</xdr:rowOff>
    </xdr:from>
    <xdr:to>
      <xdr:col>38</xdr:col>
      <xdr:colOff>142875</xdr:colOff>
      <xdr:row>47</xdr:row>
      <xdr:rowOff>66676</xdr:rowOff>
    </xdr:to>
    <xdr:sp macro="" textlink="">
      <xdr:nvSpPr>
        <xdr:cNvPr id="3" name="2 Flecha derecha"/>
        <xdr:cNvSpPr/>
      </xdr:nvSpPr>
      <xdr:spPr>
        <a:xfrm>
          <a:off x="10306050" y="8715376"/>
          <a:ext cx="133350" cy="114300"/>
        </a:xfrm>
        <a:prstGeom prst="righ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CO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C2:AY53"/>
  <sheetViews>
    <sheetView tabSelected="1" workbookViewId="0">
      <selection activeCell="G10" sqref="G10"/>
    </sheetView>
  </sheetViews>
  <sheetFormatPr baseColWidth="10" defaultColWidth="3.85546875" defaultRowHeight="15"/>
  <cols>
    <col min="2" max="2" width="3.85546875" customWidth="1"/>
    <col min="3" max="3" width="6.7109375" style="1" customWidth="1"/>
    <col min="5" max="20" width="3.140625" customWidth="1"/>
    <col min="26" max="26" width="8.85546875" customWidth="1"/>
    <col min="27" max="46" width="3.140625" customWidth="1"/>
  </cols>
  <sheetData>
    <row r="2" spans="3:51">
      <c r="C2" s="51" t="s">
        <v>0</v>
      </c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</row>
    <row r="3" spans="3:51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</row>
    <row r="4" spans="3:5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Z4" s="3"/>
      <c r="AA4" s="55">
        <v>1</v>
      </c>
      <c r="AB4" s="56"/>
      <c r="AC4" s="56"/>
      <c r="AD4" s="57"/>
      <c r="AE4" s="55">
        <v>2</v>
      </c>
      <c r="AF4" s="56"/>
      <c r="AG4" s="56"/>
      <c r="AH4" s="57"/>
      <c r="AI4" s="55">
        <v>3</v>
      </c>
      <c r="AJ4" s="56"/>
      <c r="AK4" s="56"/>
      <c r="AL4" s="57"/>
      <c r="AM4" s="55">
        <v>4</v>
      </c>
      <c r="AN4" s="56"/>
      <c r="AO4" s="56"/>
      <c r="AP4" s="57"/>
      <c r="AQ4" s="55">
        <v>5</v>
      </c>
      <c r="AR4" s="56"/>
      <c r="AS4" s="56"/>
      <c r="AT4" s="57"/>
    </row>
    <row r="5" spans="3:51">
      <c r="C5" s="10" t="s">
        <v>1</v>
      </c>
      <c r="D5" s="4"/>
      <c r="E5" s="4"/>
      <c r="F5" s="4"/>
      <c r="G5" s="50" t="s">
        <v>28</v>
      </c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Z5" s="5" t="s">
        <v>16</v>
      </c>
      <c r="AA5" s="52" t="s">
        <v>23</v>
      </c>
      <c r="AB5" s="53"/>
      <c r="AC5" s="53"/>
      <c r="AD5" s="54"/>
      <c r="AE5" s="52" t="s">
        <v>22</v>
      </c>
      <c r="AF5" s="53"/>
      <c r="AG5" s="53"/>
      <c r="AH5" s="54"/>
      <c r="AI5" s="52" t="s">
        <v>21</v>
      </c>
      <c r="AJ5" s="53"/>
      <c r="AK5" s="53"/>
      <c r="AL5" s="54"/>
      <c r="AM5" s="52" t="s">
        <v>20</v>
      </c>
      <c r="AN5" s="53"/>
      <c r="AO5" s="53"/>
      <c r="AP5" s="54"/>
      <c r="AQ5" s="52" t="s">
        <v>17</v>
      </c>
      <c r="AR5" s="53"/>
      <c r="AS5" s="53"/>
      <c r="AT5" s="54"/>
    </row>
    <row r="6" spans="3:51">
      <c r="Z6" s="47" t="s">
        <v>18</v>
      </c>
      <c r="AA6" s="28" t="s">
        <v>31</v>
      </c>
      <c r="AB6" s="28">
        <v>66</v>
      </c>
      <c r="AC6" s="28">
        <v>61</v>
      </c>
      <c r="AD6" s="28" t="s">
        <v>32</v>
      </c>
      <c r="AE6" s="70"/>
      <c r="AF6" s="79"/>
      <c r="AG6" s="79"/>
      <c r="AH6" s="79"/>
      <c r="AI6" s="79"/>
      <c r="AJ6" s="79"/>
      <c r="AK6" s="79"/>
      <c r="AL6" s="80"/>
      <c r="AM6" s="19"/>
      <c r="AN6" s="20"/>
      <c r="AO6" s="20"/>
      <c r="AP6" s="21"/>
      <c r="AQ6" s="17" t="str">
        <f>E17</f>
        <v>E3</v>
      </c>
      <c r="AR6" s="13" t="str">
        <f t="shared" ref="AR6:AT6" si="0">F17</f>
        <v>D3</v>
      </c>
      <c r="AS6" s="13" t="str">
        <f t="shared" si="0"/>
        <v>BF</v>
      </c>
      <c r="AT6" s="14" t="str">
        <f t="shared" si="0"/>
        <v>3A</v>
      </c>
      <c r="AU6" s="61" t="s">
        <v>24</v>
      </c>
      <c r="AV6" s="62"/>
      <c r="AW6" s="62"/>
      <c r="AX6" s="62"/>
      <c r="AY6" s="63"/>
    </row>
    <row r="7" spans="3:51">
      <c r="C7" s="58" t="s">
        <v>14</v>
      </c>
      <c r="D7" s="58"/>
      <c r="E7" s="58"/>
      <c r="G7" s="59" t="s">
        <v>29</v>
      </c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Z7" s="48"/>
      <c r="AA7" s="28" t="s">
        <v>32</v>
      </c>
      <c r="AB7" s="28">
        <v>72</v>
      </c>
      <c r="AC7" s="28" t="s">
        <v>31</v>
      </c>
      <c r="AD7" s="28">
        <v>72</v>
      </c>
      <c r="AE7" s="81"/>
      <c r="AF7" s="82"/>
      <c r="AG7" s="82"/>
      <c r="AH7" s="82"/>
      <c r="AI7" s="82"/>
      <c r="AJ7" s="82"/>
      <c r="AK7" s="82"/>
      <c r="AL7" s="83"/>
      <c r="AM7" s="22"/>
      <c r="AN7" s="23"/>
      <c r="AO7" s="23"/>
      <c r="AP7" s="24"/>
      <c r="AQ7" s="17">
        <f t="shared" ref="AQ7:AQ9" si="1">E18</f>
        <v>68</v>
      </c>
      <c r="AR7" s="13">
        <f t="shared" ref="AR7:AR9" si="2">F18</f>
        <v>78</v>
      </c>
      <c r="AS7" s="13" t="str">
        <f t="shared" ref="AS7:AS9" si="3">G18</f>
        <v>2A</v>
      </c>
      <c r="AT7" s="14" t="str">
        <f t="shared" ref="AT7:AT9" si="4">H18</f>
        <v>3A</v>
      </c>
      <c r="AU7" s="64"/>
      <c r="AV7" s="65"/>
      <c r="AW7" s="65"/>
      <c r="AX7" s="65"/>
      <c r="AY7" s="66"/>
    </row>
    <row r="8" spans="3:51">
      <c r="Z8" s="48"/>
      <c r="AA8" s="28">
        <v>74</v>
      </c>
      <c r="AB8" s="28">
        <v>61</v>
      </c>
      <c r="AC8" s="28">
        <v>74</v>
      </c>
      <c r="AD8" s="28" t="s">
        <v>33</v>
      </c>
      <c r="AE8" s="81"/>
      <c r="AF8" s="82"/>
      <c r="AG8" s="82"/>
      <c r="AH8" s="82"/>
      <c r="AI8" s="82"/>
      <c r="AJ8" s="82"/>
      <c r="AK8" s="82"/>
      <c r="AL8" s="83"/>
      <c r="AM8" s="22"/>
      <c r="AN8" s="23"/>
      <c r="AO8" s="23"/>
      <c r="AP8" s="24"/>
      <c r="AQ8" s="17" t="str">
        <f t="shared" si="1"/>
        <v>CB</v>
      </c>
      <c r="AR8" s="13">
        <f t="shared" si="2"/>
        <v>36</v>
      </c>
      <c r="AS8" s="13" t="str">
        <f t="shared" si="3"/>
        <v>AC</v>
      </c>
      <c r="AT8" s="14">
        <f t="shared" si="4"/>
        <v>41</v>
      </c>
      <c r="AU8" s="64"/>
      <c r="AV8" s="65"/>
      <c r="AW8" s="65"/>
      <c r="AX8" s="65"/>
      <c r="AY8" s="66"/>
    </row>
    <row r="9" spans="3:51">
      <c r="C9" s="58" t="s">
        <v>27</v>
      </c>
      <c r="D9" s="58"/>
      <c r="E9" s="58"/>
      <c r="G9" s="59" t="s">
        <v>211</v>
      </c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Z9" s="49"/>
      <c r="AA9" s="15">
        <v>61</v>
      </c>
      <c r="AB9" s="15">
        <v>67</v>
      </c>
      <c r="AC9" s="15">
        <v>77</v>
      </c>
      <c r="AD9" s="16">
        <v>64</v>
      </c>
      <c r="AE9" s="84"/>
      <c r="AF9" s="85"/>
      <c r="AG9" s="85"/>
      <c r="AH9" s="85"/>
      <c r="AI9" s="85"/>
      <c r="AJ9" s="85"/>
      <c r="AK9" s="85"/>
      <c r="AL9" s="86"/>
      <c r="AM9" s="25"/>
      <c r="AN9" s="26"/>
      <c r="AO9" s="26"/>
      <c r="AP9" s="27"/>
      <c r="AQ9" s="18" t="str">
        <f t="shared" si="1"/>
        <v>F1</v>
      </c>
      <c r="AR9" s="15">
        <f t="shared" si="2"/>
        <v>80</v>
      </c>
      <c r="AS9" s="15">
        <f t="shared" si="3"/>
        <v>98</v>
      </c>
      <c r="AT9" s="16" t="str">
        <f t="shared" si="4"/>
        <v>D1</v>
      </c>
      <c r="AU9" s="67"/>
      <c r="AV9" s="68"/>
      <c r="AW9" s="68"/>
      <c r="AX9" s="68"/>
      <c r="AY9" s="69"/>
    </row>
    <row r="10" spans="3:51">
      <c r="Z10" s="47">
        <v>1</v>
      </c>
      <c r="AA10" s="12" t="str">
        <f>HexXor(AA6,AQ6)</f>
        <v>8D</v>
      </c>
      <c r="AB10" s="13" t="str">
        <f t="shared" ref="AB10:AD10" si="5">HexXor(AB6,AR6)</f>
        <v>B5</v>
      </c>
      <c r="AC10" s="13" t="str">
        <f t="shared" si="5"/>
        <v>DE</v>
      </c>
      <c r="AD10" s="14" t="str">
        <f t="shared" si="5"/>
        <v>55</v>
      </c>
      <c r="AE10" s="17" t="str">
        <f>AesSubbytes(AA10)</f>
        <v>5d</v>
      </c>
      <c r="AF10" s="13" t="str">
        <f t="shared" ref="AF10:AH10" si="6">AesSubbytes(AB10)</f>
        <v>d5</v>
      </c>
      <c r="AG10" s="13" t="str">
        <f t="shared" si="6"/>
        <v>1d</v>
      </c>
      <c r="AH10" s="14" t="str">
        <f t="shared" si="6"/>
        <v>fc</v>
      </c>
      <c r="AI10" s="17" t="str">
        <f>AE10</f>
        <v>5d</v>
      </c>
      <c r="AJ10" s="13" t="str">
        <f t="shared" ref="AJ10:AL10" si="7">AF10</f>
        <v>d5</v>
      </c>
      <c r="AK10" s="13" t="str">
        <f t="shared" si="7"/>
        <v>1d</v>
      </c>
      <c r="AL10" s="14" t="str">
        <f t="shared" si="7"/>
        <v>fc</v>
      </c>
      <c r="AM10" s="17" t="str">
        <f>GFMult(AI10,AI11,AI12,AI13,0)</f>
        <v>A7</v>
      </c>
      <c r="AN10" s="13" t="str">
        <f>GFMult(AJ10,AJ11,AJ12,AJ13,0)</f>
        <v>24</v>
      </c>
      <c r="AO10" s="13" t="str">
        <f t="shared" ref="AO10:AP10" si="8">GFMult(AK10,AK11,AK12,AK13,0)</f>
        <v>50</v>
      </c>
      <c r="AP10" s="14" t="str">
        <f t="shared" si="8"/>
        <v>33</v>
      </c>
      <c r="AQ10" s="17" t="str">
        <f>HexXor(AQ6,HexXor(AesSubbytes(AT7),"01"))</f>
        <v>62</v>
      </c>
      <c r="AR10" s="13" t="str">
        <f>HexXor(AQ10,AR6)</f>
        <v>B1</v>
      </c>
      <c r="AS10" s="13" t="str">
        <f t="shared" ref="AS10:AT10" si="9">HexXor(AR10,AS6)</f>
        <v>E</v>
      </c>
      <c r="AT10" s="14" t="str">
        <f t="shared" si="9"/>
        <v>34</v>
      </c>
      <c r="AU10" s="61" t="s">
        <v>25</v>
      </c>
      <c r="AV10" s="62"/>
      <c r="AW10" s="62"/>
      <c r="AX10" s="62"/>
      <c r="AY10" s="63"/>
    </row>
    <row r="11" spans="3:51">
      <c r="C11" s="58" t="s">
        <v>15</v>
      </c>
      <c r="D11" s="58"/>
      <c r="E11" s="58"/>
      <c r="G11" s="59" t="s">
        <v>30</v>
      </c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Z11" s="48"/>
      <c r="AA11" s="13" t="str">
        <f t="shared" ref="AA11:AA13" si="10">HexXor(AA7,AQ7)</f>
        <v>7</v>
      </c>
      <c r="AB11" s="13" t="str">
        <f t="shared" ref="AB11:AB13" si="11">HexXor(AB7,AR7)</f>
        <v>A</v>
      </c>
      <c r="AC11" s="13" t="str">
        <f t="shared" ref="AC11:AC13" si="12">HexXor(AC7,AS7)</f>
        <v>44</v>
      </c>
      <c r="AD11" s="14" t="str">
        <f t="shared" ref="AD11:AD13" si="13">HexXor(AD7,AT7)</f>
        <v>48</v>
      </c>
      <c r="AE11" s="17" t="str">
        <f t="shared" ref="AE11:AE13" si="14">AesSubbytes(AA11)</f>
        <v>c5</v>
      </c>
      <c r="AF11" s="13" t="str">
        <f t="shared" ref="AF11:AF14" si="15">AesSubbytes(AB11)</f>
        <v>67</v>
      </c>
      <c r="AG11" s="13" t="str">
        <f t="shared" ref="AG11:AG14" si="16">AesSubbytes(AC11)</f>
        <v>1b</v>
      </c>
      <c r="AH11" s="14" t="str">
        <f t="shared" ref="AH11:AH14" si="17">AesSubbytes(AD11)</f>
        <v>52</v>
      </c>
      <c r="AI11" s="17" t="str">
        <f>AF11</f>
        <v>67</v>
      </c>
      <c r="AJ11" s="13" t="str">
        <f t="shared" ref="AJ11" si="18">AG11</f>
        <v>1b</v>
      </c>
      <c r="AK11" s="13" t="str">
        <f>AH11</f>
        <v>52</v>
      </c>
      <c r="AL11" s="14" t="str">
        <f>AE11</f>
        <v>c5</v>
      </c>
      <c r="AM11" s="17" t="str">
        <f>GFMult(AI10,AI11,AI12,AI13,1)</f>
        <v>E5</v>
      </c>
      <c r="AN11" s="13" t="str">
        <f>GFMult(AJ10,AJ11,AJ12,AJ13,1)</f>
        <v>F0</v>
      </c>
      <c r="AO11" s="13" t="str">
        <f t="shared" ref="AO11:AP11" si="19">GFMult(AK10,AK11,AK12,AK13,1)</f>
        <v>35</v>
      </c>
      <c r="AP11" s="14" t="str">
        <f t="shared" si="19"/>
        <v>5F</v>
      </c>
      <c r="AQ11" s="17" t="str">
        <f>HexXor(AQ7,AesSubbytes(AT8))</f>
        <v>EB</v>
      </c>
      <c r="AR11" s="13" t="str">
        <f t="shared" ref="AR11:AT11" si="20">HexXor(AQ11,AR7)</f>
        <v>93</v>
      </c>
      <c r="AS11" s="13" t="str">
        <f t="shared" si="20"/>
        <v>B9</v>
      </c>
      <c r="AT11" s="14" t="str">
        <f t="shared" si="20"/>
        <v>83</v>
      </c>
      <c r="AU11" s="64"/>
      <c r="AV11" s="65"/>
      <c r="AW11" s="65"/>
      <c r="AX11" s="65"/>
      <c r="AY11" s="66"/>
    </row>
    <row r="12" spans="3:51">
      <c r="Z12" s="48"/>
      <c r="AA12" s="13" t="str">
        <f t="shared" si="10"/>
        <v>BF</v>
      </c>
      <c r="AB12" s="13" t="str">
        <f t="shared" si="11"/>
        <v>57</v>
      </c>
      <c r="AC12" s="13" t="str">
        <f t="shared" si="12"/>
        <v>D8</v>
      </c>
      <c r="AD12" s="14" t="str">
        <f t="shared" si="13"/>
        <v>2D</v>
      </c>
      <c r="AE12" s="17" t="str">
        <f t="shared" si="14"/>
        <v>8</v>
      </c>
      <c r="AF12" s="13" t="str">
        <f t="shared" si="15"/>
        <v>5b</v>
      </c>
      <c r="AG12" s="13" t="str">
        <f t="shared" si="16"/>
        <v>61</v>
      </c>
      <c r="AH12" s="14" t="str">
        <f t="shared" si="17"/>
        <v>d8</v>
      </c>
      <c r="AI12" s="17" t="str">
        <f>AG12</f>
        <v>61</v>
      </c>
      <c r="AJ12" s="13" t="str">
        <f>AH12</f>
        <v>d8</v>
      </c>
      <c r="AK12" s="13" t="str">
        <f>AE12</f>
        <v>8</v>
      </c>
      <c r="AL12" s="14" t="str">
        <f>AF12</f>
        <v>5b</v>
      </c>
      <c r="AM12" s="17" t="str">
        <f>GFMult(AI10,AI11,AI12,AI13,2)</f>
        <v>9C</v>
      </c>
      <c r="AN12" s="13" t="str">
        <f>GFMult(AJ10,AJ11,AJ12,AJ13,2)</f>
        <v>C5</v>
      </c>
      <c r="AO12" s="13" t="str">
        <f t="shared" ref="AO12:AP12" si="21">GFMult(AK10,AK11,AK12,AK13,2)</f>
        <v>F8</v>
      </c>
      <c r="AP12" s="14" t="str">
        <f t="shared" si="21"/>
        <v>F5</v>
      </c>
      <c r="AQ12" s="17" t="str">
        <f>HexXor(AQ8,AesSubbytes(AT9))</f>
        <v>F5</v>
      </c>
      <c r="AR12" s="13" t="str">
        <f t="shared" ref="AR12:AT12" si="22">HexXor(AQ12,AR8)</f>
        <v>C3</v>
      </c>
      <c r="AS12" s="13" t="str">
        <f t="shared" si="22"/>
        <v>6F</v>
      </c>
      <c r="AT12" s="14" t="str">
        <f t="shared" si="22"/>
        <v>2E</v>
      </c>
      <c r="AU12" s="64"/>
      <c r="AV12" s="65"/>
      <c r="AW12" s="65"/>
      <c r="AX12" s="65"/>
      <c r="AY12" s="66"/>
    </row>
    <row r="13" spans="3:51">
      <c r="Z13" s="49"/>
      <c r="AA13" s="15" t="str">
        <f t="shared" si="10"/>
        <v>90</v>
      </c>
      <c r="AB13" s="15" t="str">
        <f t="shared" si="11"/>
        <v>E7</v>
      </c>
      <c r="AC13" s="15" t="str">
        <f t="shared" si="12"/>
        <v>EF</v>
      </c>
      <c r="AD13" s="16" t="str">
        <f t="shared" si="13"/>
        <v>B5</v>
      </c>
      <c r="AE13" s="18" t="str">
        <f t="shared" si="14"/>
        <v>60</v>
      </c>
      <c r="AF13" s="15" t="str">
        <f t="shared" si="15"/>
        <v>94</v>
      </c>
      <c r="AG13" s="15" t="str">
        <f t="shared" si="16"/>
        <v>df</v>
      </c>
      <c r="AH13" s="16" t="str">
        <f t="shared" si="17"/>
        <v>d5</v>
      </c>
      <c r="AI13" s="18" t="str">
        <f>AH13</f>
        <v>d5</v>
      </c>
      <c r="AJ13" s="15" t="str">
        <f>AE13</f>
        <v>60</v>
      </c>
      <c r="AK13" s="15" t="str">
        <f>AF13</f>
        <v>94</v>
      </c>
      <c r="AL13" s="16" t="str">
        <f>AG13</f>
        <v>df</v>
      </c>
      <c r="AM13" s="18" t="str">
        <f>GFMult(AI10,AI11,AI12,AI13,3)</f>
        <v>50</v>
      </c>
      <c r="AN13" s="15" t="str">
        <f>GFMult(AJ10,AJ11,AJ12,AJ13,3)</f>
        <v>67</v>
      </c>
      <c r="AO13" s="15" t="str">
        <f t="shared" ref="AO13:AP13" si="23">GFMult(AK10,AK11,AK12,AK13,3)</f>
        <v>4E</v>
      </c>
      <c r="AP13" s="16" t="str">
        <f t="shared" si="23"/>
        <v>24</v>
      </c>
      <c r="AQ13" s="18" t="str">
        <f>HexXor(AQ9,AesSubbytes(AT6))</f>
        <v>71</v>
      </c>
      <c r="AR13" s="15" t="str">
        <f t="shared" ref="AR13:AT13" si="24">HexXor(AQ13,AR9)</f>
        <v>F1</v>
      </c>
      <c r="AS13" s="15" t="str">
        <f t="shared" si="24"/>
        <v>69</v>
      </c>
      <c r="AT13" s="16" t="str">
        <f t="shared" si="24"/>
        <v>B8</v>
      </c>
      <c r="AU13" s="64"/>
      <c r="AV13" s="65"/>
      <c r="AW13" s="65"/>
      <c r="AX13" s="65"/>
      <c r="AY13" s="66"/>
    </row>
    <row r="14" spans="3:51">
      <c r="E14" s="60" t="s">
        <v>2</v>
      </c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Z14" s="47">
        <v>2</v>
      </c>
      <c r="AA14" s="12" t="str">
        <f>HexXor(AM10,AQ10)</f>
        <v>C5</v>
      </c>
      <c r="AB14" s="13" t="str">
        <f t="shared" ref="AB14" si="25">HexXor(AN10,AR10)</f>
        <v>95</v>
      </c>
      <c r="AC14" s="13" t="str">
        <f t="shared" ref="AC14" si="26">HexXor(AO10,AS10)</f>
        <v>5E</v>
      </c>
      <c r="AD14" s="14" t="str">
        <f t="shared" ref="AD14" si="27">HexXor(AP10,AT10)</f>
        <v>7</v>
      </c>
      <c r="AE14" s="17" t="str">
        <f>AesSubbytes(AA14)</f>
        <v>a6</v>
      </c>
      <c r="AF14" s="13" t="str">
        <f t="shared" si="15"/>
        <v>2a</v>
      </c>
      <c r="AG14" s="13" t="str">
        <f t="shared" si="16"/>
        <v>58</v>
      </c>
      <c r="AH14" s="14" t="str">
        <f t="shared" si="17"/>
        <v>c5</v>
      </c>
      <c r="AI14" s="17" t="str">
        <f>AE14</f>
        <v>a6</v>
      </c>
      <c r="AJ14" s="13" t="str">
        <f t="shared" ref="AJ14" si="28">AF14</f>
        <v>2a</v>
      </c>
      <c r="AK14" s="13" t="str">
        <f t="shared" ref="AK14" si="29">AG14</f>
        <v>58</v>
      </c>
      <c r="AL14" s="14" t="str">
        <f t="shared" ref="AL14" si="30">AH14</f>
        <v>c5</v>
      </c>
      <c r="AM14" s="17" t="str">
        <f>GFMult(AI14,AI15,AI16,AI17,0)</f>
        <v>17</v>
      </c>
      <c r="AN14" s="13" t="str">
        <f>GFMult(AJ14,AJ15,AJ16,AJ17,0)</f>
        <v>BC</v>
      </c>
      <c r="AO14" s="13" t="str">
        <f t="shared" ref="AO14" si="31">GFMult(AK14,AK15,AK16,AK17,0)</f>
        <v>48</v>
      </c>
      <c r="AP14" s="14" t="str">
        <f t="shared" ref="AP14" si="32">GFMult(AL14,AL15,AL16,AL17,0)</f>
        <v>D4</v>
      </c>
      <c r="AQ14" s="17" t="str">
        <f>HexXor(AQ10,HexXor(AesSubbytes(AT11),"02"))</f>
        <v>8C</v>
      </c>
      <c r="AR14" s="13" t="str">
        <f>HexXor(AQ14,AR10)</f>
        <v>3D</v>
      </c>
      <c r="AS14" s="13" t="str">
        <f t="shared" ref="AS14:AT14" si="33">HexXor(AR14,AS10)</f>
        <v>33</v>
      </c>
      <c r="AT14" s="14" t="str">
        <f t="shared" si="33"/>
        <v>7</v>
      </c>
      <c r="AU14" s="64"/>
      <c r="AV14" s="65"/>
      <c r="AW14" s="65"/>
      <c r="AX14" s="65"/>
      <c r="AY14" s="66"/>
    </row>
    <row r="15" spans="3:51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Z15" s="48"/>
      <c r="AA15" s="13" t="str">
        <f t="shared" ref="AA15:AA17" si="34">HexXor(AM11,AQ11)</f>
        <v>E</v>
      </c>
      <c r="AB15" s="13" t="str">
        <f t="shared" ref="AB15:AB18" si="35">HexXor(AN11,AR11)</f>
        <v>63</v>
      </c>
      <c r="AC15" s="13" t="str">
        <f t="shared" ref="AC15:AC18" si="36">HexXor(AO11,AS11)</f>
        <v>8C</v>
      </c>
      <c r="AD15" s="14" t="str">
        <f t="shared" ref="AD15:AD18" si="37">HexXor(AP11,AT11)</f>
        <v>DC</v>
      </c>
      <c r="AE15" s="17" t="str">
        <f t="shared" ref="AE15:AE17" si="38">AesSubbytes(AA15)</f>
        <v>ab</v>
      </c>
      <c r="AF15" s="13" t="str">
        <f t="shared" ref="AF15:AF49" si="39">AesSubbytes(AB15)</f>
        <v>fb</v>
      </c>
      <c r="AG15" s="13" t="str">
        <f t="shared" ref="AG15:AG49" si="40">AesSubbytes(AC15)</f>
        <v>64</v>
      </c>
      <c r="AH15" s="14" t="str">
        <f t="shared" ref="AH15:AH49" si="41">AesSubbytes(AD15)</f>
        <v>86</v>
      </c>
      <c r="AI15" s="17" t="str">
        <f>AF15</f>
        <v>fb</v>
      </c>
      <c r="AJ15" s="13" t="str">
        <f t="shared" ref="AJ15" si="42">AG15</f>
        <v>64</v>
      </c>
      <c r="AK15" s="13" t="str">
        <f>AH15</f>
        <v>86</v>
      </c>
      <c r="AL15" s="14" t="str">
        <f>AE15</f>
        <v>ab</v>
      </c>
      <c r="AM15" s="17" t="str">
        <f>GFMult(AI14,AI15,AI16,AI17,1)</f>
        <v>16</v>
      </c>
      <c r="AN15" s="13" t="str">
        <f>GFMult(AJ14,AJ15,AJ16,AJ17,1)</f>
        <v>CF</v>
      </c>
      <c r="AO15" s="13" t="str">
        <f t="shared" ref="AO15" si="43">GFMult(AK14,AK15,AK16,AK17,1)</f>
        <v>CF</v>
      </c>
      <c r="AP15" s="14" t="str">
        <f t="shared" ref="AP15" si="44">GFMult(AL14,AL15,AL16,AL17,1)</f>
        <v>F5</v>
      </c>
      <c r="AQ15" s="17" t="str">
        <f>HexXor(AQ11,AesSubbytes(AT12))</f>
        <v>DA</v>
      </c>
      <c r="AR15" s="13" t="str">
        <f t="shared" ref="AR15:AT15" si="45">HexXor(AQ15,AR11)</f>
        <v>49</v>
      </c>
      <c r="AS15" s="13" t="str">
        <f t="shared" si="45"/>
        <v>F0</v>
      </c>
      <c r="AT15" s="14" t="str">
        <f t="shared" si="45"/>
        <v>73</v>
      </c>
      <c r="AU15" s="64"/>
      <c r="AV15" s="65"/>
      <c r="AW15" s="65"/>
      <c r="AX15" s="65"/>
      <c r="AY15" s="66"/>
    </row>
    <row r="16" spans="3:51">
      <c r="E16" s="55" t="s">
        <v>3</v>
      </c>
      <c r="F16" s="56"/>
      <c r="G16" s="56"/>
      <c r="H16" s="57"/>
      <c r="I16" s="55" t="s">
        <v>4</v>
      </c>
      <c r="J16" s="56"/>
      <c r="K16" s="56"/>
      <c r="L16" s="57"/>
      <c r="M16" s="55" t="s">
        <v>5</v>
      </c>
      <c r="N16" s="56"/>
      <c r="O16" s="56"/>
      <c r="P16" s="57"/>
      <c r="Q16" s="55" t="s">
        <v>6</v>
      </c>
      <c r="R16" s="56"/>
      <c r="S16" s="56"/>
      <c r="T16" s="57"/>
      <c r="Z16" s="48"/>
      <c r="AA16" s="13" t="str">
        <f t="shared" si="34"/>
        <v>69</v>
      </c>
      <c r="AB16" s="13" t="str">
        <f t="shared" si="35"/>
        <v>6</v>
      </c>
      <c r="AC16" s="13" t="str">
        <f t="shared" si="36"/>
        <v>97</v>
      </c>
      <c r="AD16" s="14" t="str">
        <f t="shared" si="37"/>
        <v>DB</v>
      </c>
      <c r="AE16" s="17" t="str">
        <f t="shared" si="38"/>
        <v>f9</v>
      </c>
      <c r="AF16" s="13" t="str">
        <f t="shared" si="39"/>
        <v>6f</v>
      </c>
      <c r="AG16" s="13" t="str">
        <f t="shared" si="40"/>
        <v>88</v>
      </c>
      <c r="AH16" s="14" t="str">
        <f t="shared" si="41"/>
        <v>b9</v>
      </c>
      <c r="AI16" s="17" t="str">
        <f>AG16</f>
        <v>88</v>
      </c>
      <c r="AJ16" s="13" t="str">
        <f>AH16</f>
        <v>b9</v>
      </c>
      <c r="AK16" s="13" t="str">
        <f>AE16</f>
        <v>f9</v>
      </c>
      <c r="AL16" s="14" t="str">
        <f>AF16</f>
        <v>6f</v>
      </c>
      <c r="AM16" s="17" t="str">
        <f>GFMult(AI14,AI15,AI16,AI17,2)</f>
        <v>2F</v>
      </c>
      <c r="AN16" s="13" t="str">
        <f>GFMult(AJ14,AJ15,AJ16,AJ17,2)</f>
        <v>3B</v>
      </c>
      <c r="AO16" s="13" t="str">
        <f t="shared" ref="AO16" si="46">GFMult(AK14,AK15,AK16,AK17,2)</f>
        <v>9C</v>
      </c>
      <c r="AP16" s="14" t="str">
        <f t="shared" ref="AP16" si="47">GFMult(AL14,AL15,AL16,AL17,2)</f>
        <v>FF</v>
      </c>
      <c r="AQ16" s="17" t="str">
        <f>HexXor(AQ12,AesSubbytes(AT13))</f>
        <v>99</v>
      </c>
      <c r="AR16" s="13" t="str">
        <f t="shared" ref="AR16:AT16" si="48">HexXor(AQ16,AR12)</f>
        <v>5A</v>
      </c>
      <c r="AS16" s="13" t="str">
        <f t="shared" si="48"/>
        <v>35</v>
      </c>
      <c r="AT16" s="14" t="str">
        <f t="shared" si="48"/>
        <v>1B</v>
      </c>
      <c r="AU16" s="64"/>
      <c r="AV16" s="65"/>
      <c r="AW16" s="65"/>
      <c r="AX16" s="65"/>
      <c r="AY16" s="66"/>
    </row>
    <row r="17" spans="5:51">
      <c r="E17" s="17" t="s">
        <v>34</v>
      </c>
      <c r="F17" s="13" t="s">
        <v>37</v>
      </c>
      <c r="G17" s="13" t="s">
        <v>38</v>
      </c>
      <c r="H17" s="14" t="s">
        <v>41</v>
      </c>
      <c r="I17" s="17" t="str">
        <f>AQ10</f>
        <v>62</v>
      </c>
      <c r="J17" s="13" t="str">
        <f t="shared" ref="J17:L17" si="49">AR10</f>
        <v>B1</v>
      </c>
      <c r="K17" s="13" t="str">
        <f t="shared" si="49"/>
        <v>E</v>
      </c>
      <c r="L17" s="14" t="str">
        <f t="shared" si="49"/>
        <v>34</v>
      </c>
      <c r="M17" s="17" t="str">
        <f>AQ14</f>
        <v>8C</v>
      </c>
      <c r="N17" s="13" t="str">
        <f t="shared" ref="N17:P17" si="50">AR14</f>
        <v>3D</v>
      </c>
      <c r="O17" s="13" t="str">
        <f t="shared" si="50"/>
        <v>33</v>
      </c>
      <c r="P17" s="14" t="str">
        <f t="shared" si="50"/>
        <v>7</v>
      </c>
      <c r="Q17" s="17" t="str">
        <f>AQ18</f>
        <v>7</v>
      </c>
      <c r="R17" s="13" t="str">
        <f t="shared" ref="R17:T17" si="51">AR18</f>
        <v>3A</v>
      </c>
      <c r="S17" s="13" t="str">
        <f t="shared" si="51"/>
        <v>9</v>
      </c>
      <c r="T17" s="14" t="str">
        <f t="shared" si="51"/>
        <v>E</v>
      </c>
      <c r="Z17" s="49"/>
      <c r="AA17" s="15" t="str">
        <f t="shared" si="34"/>
        <v>21</v>
      </c>
      <c r="AB17" s="15" t="str">
        <f t="shared" si="35"/>
        <v>96</v>
      </c>
      <c r="AC17" s="15" t="str">
        <f t="shared" si="36"/>
        <v>27</v>
      </c>
      <c r="AD17" s="16" t="str">
        <f t="shared" si="37"/>
        <v>9C</v>
      </c>
      <c r="AE17" s="18" t="str">
        <f t="shared" si="38"/>
        <v>fd</v>
      </c>
      <c r="AF17" s="15" t="str">
        <f t="shared" si="39"/>
        <v>90</v>
      </c>
      <c r="AG17" s="15" t="str">
        <f t="shared" si="40"/>
        <v>cc</v>
      </c>
      <c r="AH17" s="16" t="str">
        <f t="shared" si="41"/>
        <v>de</v>
      </c>
      <c r="AI17" s="18" t="str">
        <f>AH17</f>
        <v>de</v>
      </c>
      <c r="AJ17" s="15" t="str">
        <f>AE17</f>
        <v>fd</v>
      </c>
      <c r="AK17" s="15" t="str">
        <f>AF17</f>
        <v>90</v>
      </c>
      <c r="AL17" s="16" t="str">
        <f>AG17</f>
        <v>cc</v>
      </c>
      <c r="AM17" s="18" t="str">
        <f>GFMult(AI14,AI15,AI16,AI17,3)</f>
        <v>25</v>
      </c>
      <c r="AN17" s="15" t="str">
        <f>GFMult(AJ14,AJ15,AJ16,AJ17,3)</f>
        <v>42</v>
      </c>
      <c r="AO17" s="15" t="str">
        <f t="shared" ref="AO17" si="52">GFMult(AK14,AK15,AK16,AK17,3)</f>
        <v>AC</v>
      </c>
      <c r="AP17" s="16" t="str">
        <f t="shared" ref="AP17" si="53">GFMult(AL14,AL15,AL16,AL17,3)</f>
        <v>13</v>
      </c>
      <c r="AQ17" s="18" t="str">
        <f>HexXor(AQ13,AesSubbytes(AT10))</f>
        <v>69</v>
      </c>
      <c r="AR17" s="15" t="str">
        <f t="shared" ref="AR17:AT17" si="54">HexXor(AQ17,AR13)</f>
        <v>98</v>
      </c>
      <c r="AS17" s="15" t="str">
        <f t="shared" si="54"/>
        <v>F1</v>
      </c>
      <c r="AT17" s="16" t="str">
        <f t="shared" si="54"/>
        <v>49</v>
      </c>
      <c r="AU17" s="64"/>
      <c r="AV17" s="65"/>
      <c r="AW17" s="65"/>
      <c r="AX17" s="65"/>
      <c r="AY17" s="66"/>
    </row>
    <row r="18" spans="5:51">
      <c r="E18" s="17">
        <v>68</v>
      </c>
      <c r="F18" s="13">
        <v>78</v>
      </c>
      <c r="G18" s="13" t="s">
        <v>39</v>
      </c>
      <c r="H18" s="14" t="s">
        <v>41</v>
      </c>
      <c r="I18" s="17" t="str">
        <f t="shared" ref="I18:I20" si="55">AQ11</f>
        <v>EB</v>
      </c>
      <c r="J18" s="13" t="str">
        <f t="shared" ref="J18:J20" si="56">AR11</f>
        <v>93</v>
      </c>
      <c r="K18" s="13" t="str">
        <f t="shared" ref="K18:K20" si="57">AS11</f>
        <v>B9</v>
      </c>
      <c r="L18" s="14" t="str">
        <f t="shared" ref="L18:L20" si="58">AT11</f>
        <v>83</v>
      </c>
      <c r="M18" s="17" t="str">
        <f t="shared" ref="M18:M20" si="59">AQ15</f>
        <v>DA</v>
      </c>
      <c r="N18" s="13" t="str">
        <f t="shared" ref="N18:N20" si="60">AR15</f>
        <v>49</v>
      </c>
      <c r="O18" s="13" t="str">
        <f t="shared" ref="O18:O20" si="61">AS15</f>
        <v>F0</v>
      </c>
      <c r="P18" s="14" t="str">
        <f t="shared" ref="P18:P20" si="62">AT15</f>
        <v>73</v>
      </c>
      <c r="Q18" s="17" t="str">
        <f t="shared" ref="Q18:Q20" si="63">AQ19</f>
        <v>75</v>
      </c>
      <c r="R18" s="13" t="str">
        <f t="shared" ref="R18:R20" si="64">AR19</f>
        <v>3C</v>
      </c>
      <c r="S18" s="13" t="str">
        <f t="shared" ref="S18:S20" si="65">AS19</f>
        <v>CC</v>
      </c>
      <c r="T18" s="14" t="str">
        <f t="shared" ref="T18:T20" si="66">AT19</f>
        <v>BF</v>
      </c>
      <c r="Z18" s="47">
        <v>3</v>
      </c>
      <c r="AA18" s="12" t="str">
        <f>HexXor(AM14,AQ14)</f>
        <v>9B</v>
      </c>
      <c r="AB18" s="13" t="str">
        <f t="shared" si="35"/>
        <v>81</v>
      </c>
      <c r="AC18" s="13" t="str">
        <f t="shared" si="36"/>
        <v>7B</v>
      </c>
      <c r="AD18" s="14" t="str">
        <f t="shared" si="37"/>
        <v>D3</v>
      </c>
      <c r="AE18" s="17" t="str">
        <f>AesSubbytes(AA18)</f>
        <v>14</v>
      </c>
      <c r="AF18" s="13" t="str">
        <f t="shared" si="39"/>
        <v>0c</v>
      </c>
      <c r="AG18" s="13" t="str">
        <f t="shared" si="40"/>
        <v>21</v>
      </c>
      <c r="AH18" s="14" t="str">
        <f t="shared" si="41"/>
        <v>66</v>
      </c>
      <c r="AI18" s="17" t="str">
        <f>AE18</f>
        <v>14</v>
      </c>
      <c r="AJ18" s="13" t="str">
        <f t="shared" ref="AJ18" si="67">AF18</f>
        <v>0c</v>
      </c>
      <c r="AK18" s="13" t="str">
        <f t="shared" ref="AK18" si="68">AG18</f>
        <v>21</v>
      </c>
      <c r="AL18" s="14" t="str">
        <f t="shared" ref="AL18" si="69">AH18</f>
        <v>66</v>
      </c>
      <c r="AM18" s="17" t="str">
        <f>GFMult(AI18,AI19,AI20,AI21,0)</f>
        <v>89</v>
      </c>
      <c r="AN18" s="13" t="str">
        <f>GFMult(AJ18,AJ19,AJ20,AJ21,0)</f>
        <v>C7</v>
      </c>
      <c r="AO18" s="13" t="str">
        <f t="shared" ref="AO18" si="70">GFMult(AK18,AK19,AK20,AK21,0)</f>
        <v>97</v>
      </c>
      <c r="AP18" s="14" t="str">
        <f t="shared" ref="AP18" si="71">GFMult(AL18,AL19,AL20,AL21,0)</f>
        <v>B2</v>
      </c>
      <c r="AQ18" s="17" t="str">
        <f>HexXor(AQ14,HexXor(AesSubbytes(AT15),"04"))</f>
        <v>7</v>
      </c>
      <c r="AR18" s="13" t="str">
        <f>HexXor(AQ18,AR14)</f>
        <v>3A</v>
      </c>
      <c r="AS18" s="13" t="str">
        <f t="shared" ref="AS18:AT18" si="72">HexXor(AR18,AS14)</f>
        <v>9</v>
      </c>
      <c r="AT18" s="14" t="str">
        <f t="shared" si="72"/>
        <v>E</v>
      </c>
      <c r="AU18" s="64"/>
      <c r="AV18" s="65"/>
      <c r="AW18" s="65"/>
      <c r="AX18" s="65"/>
      <c r="AY18" s="66"/>
    </row>
    <row r="19" spans="5:51">
      <c r="E19" s="17" t="s">
        <v>35</v>
      </c>
      <c r="F19" s="13">
        <v>36</v>
      </c>
      <c r="G19" s="13" t="s">
        <v>40</v>
      </c>
      <c r="H19" s="14">
        <v>41</v>
      </c>
      <c r="I19" s="17" t="str">
        <f t="shared" si="55"/>
        <v>F5</v>
      </c>
      <c r="J19" s="13" t="str">
        <f t="shared" si="56"/>
        <v>C3</v>
      </c>
      <c r="K19" s="13" t="str">
        <f t="shared" si="57"/>
        <v>6F</v>
      </c>
      <c r="L19" s="14" t="str">
        <f t="shared" si="58"/>
        <v>2E</v>
      </c>
      <c r="M19" s="17" t="str">
        <f t="shared" si="59"/>
        <v>99</v>
      </c>
      <c r="N19" s="13" t="str">
        <f t="shared" si="60"/>
        <v>5A</v>
      </c>
      <c r="O19" s="13" t="str">
        <f t="shared" si="61"/>
        <v>35</v>
      </c>
      <c r="P19" s="14" t="str">
        <f t="shared" si="62"/>
        <v>1B</v>
      </c>
      <c r="Q19" s="17" t="str">
        <f t="shared" si="63"/>
        <v>A2</v>
      </c>
      <c r="R19" s="13" t="str">
        <f t="shared" si="64"/>
        <v>F8</v>
      </c>
      <c r="S19" s="13" t="str">
        <f t="shared" si="65"/>
        <v>CD</v>
      </c>
      <c r="T19" s="14" t="str">
        <f t="shared" si="66"/>
        <v>D6</v>
      </c>
      <c r="Z19" s="48"/>
      <c r="AA19" s="13" t="str">
        <f t="shared" ref="AA19:AA21" si="73">HexXor(AM15,AQ15)</f>
        <v>CC</v>
      </c>
      <c r="AB19" s="13" t="str">
        <f t="shared" ref="AB19:AB49" si="74">HexXor(AN15,AR15)</f>
        <v>86</v>
      </c>
      <c r="AC19" s="13" t="str">
        <f t="shared" ref="AC19:AC49" si="75">HexXor(AO15,AS15)</f>
        <v>3F</v>
      </c>
      <c r="AD19" s="14" t="str">
        <f t="shared" ref="AD19:AD49" si="76">HexXor(AP15,AT15)</f>
        <v>86</v>
      </c>
      <c r="AE19" s="17" t="str">
        <f t="shared" ref="AE19:AE21" si="77">AesSubbytes(AA19)</f>
        <v>4b</v>
      </c>
      <c r="AF19" s="13" t="str">
        <f t="shared" si="39"/>
        <v>44</v>
      </c>
      <c r="AG19" s="13" t="str">
        <f t="shared" si="40"/>
        <v>75</v>
      </c>
      <c r="AH19" s="14" t="str">
        <f t="shared" si="41"/>
        <v>44</v>
      </c>
      <c r="AI19" s="17" t="str">
        <f>AF19</f>
        <v>44</v>
      </c>
      <c r="AJ19" s="13" t="str">
        <f t="shared" ref="AJ19" si="78">AG19</f>
        <v>75</v>
      </c>
      <c r="AK19" s="13" t="str">
        <f>AH19</f>
        <v>44</v>
      </c>
      <c r="AL19" s="14" t="str">
        <f>AE19</f>
        <v>4b</v>
      </c>
      <c r="AM19" s="17" t="str">
        <f>GFMult(AI18,AI19,AI20,AI21,1)</f>
        <v>4C</v>
      </c>
      <c r="AN19" s="13" t="str">
        <f>GFMult(AJ18,AJ19,AJ20,AJ21,1)</f>
        <v>74</v>
      </c>
      <c r="AO19" s="13" t="str">
        <f t="shared" ref="AO19" si="79">GFMult(AK18,AK19,AK20,AK21,1)</f>
        <v>2C</v>
      </c>
      <c r="AP19" s="14" t="str">
        <f t="shared" ref="AP19" si="80">GFMult(AL18,AL19,AL20,AL21,1)</f>
        <v>96</v>
      </c>
      <c r="AQ19" s="17" t="str">
        <f>HexXor(AQ15,AesSubbytes(AT16))</f>
        <v>75</v>
      </c>
      <c r="AR19" s="13" t="str">
        <f t="shared" ref="AR19:AT19" si="81">HexXor(AQ19,AR15)</f>
        <v>3C</v>
      </c>
      <c r="AS19" s="13" t="str">
        <f t="shared" si="81"/>
        <v>CC</v>
      </c>
      <c r="AT19" s="14" t="str">
        <f t="shared" si="81"/>
        <v>BF</v>
      </c>
      <c r="AU19" s="64"/>
      <c r="AV19" s="65"/>
      <c r="AW19" s="65"/>
      <c r="AX19" s="65"/>
      <c r="AY19" s="66"/>
    </row>
    <row r="20" spans="5:51">
      <c r="E20" s="18" t="s">
        <v>36</v>
      </c>
      <c r="F20" s="15">
        <v>80</v>
      </c>
      <c r="G20" s="15">
        <v>98</v>
      </c>
      <c r="H20" s="16" t="s">
        <v>42</v>
      </c>
      <c r="I20" s="18" t="str">
        <f t="shared" si="55"/>
        <v>71</v>
      </c>
      <c r="J20" s="15" t="str">
        <f t="shared" si="56"/>
        <v>F1</v>
      </c>
      <c r="K20" s="15" t="str">
        <f t="shared" si="57"/>
        <v>69</v>
      </c>
      <c r="L20" s="16" t="str">
        <f t="shared" si="58"/>
        <v>B8</v>
      </c>
      <c r="M20" s="18" t="str">
        <f t="shared" si="59"/>
        <v>69</v>
      </c>
      <c r="N20" s="15" t="str">
        <f t="shared" si="60"/>
        <v>98</v>
      </c>
      <c r="O20" s="15" t="str">
        <f t="shared" si="61"/>
        <v>F1</v>
      </c>
      <c r="P20" s="16" t="str">
        <f t="shared" si="62"/>
        <v>49</v>
      </c>
      <c r="Q20" s="18" t="str">
        <f t="shared" si="63"/>
        <v>AC</v>
      </c>
      <c r="R20" s="15" t="str">
        <f t="shared" si="64"/>
        <v>34</v>
      </c>
      <c r="S20" s="15" t="str">
        <f t="shared" si="65"/>
        <v>C5</v>
      </c>
      <c r="T20" s="16" t="str">
        <f t="shared" si="66"/>
        <v>8C</v>
      </c>
      <c r="Z20" s="48"/>
      <c r="AA20" s="13" t="str">
        <f t="shared" si="73"/>
        <v>B6</v>
      </c>
      <c r="AB20" s="13" t="str">
        <f t="shared" si="74"/>
        <v>61</v>
      </c>
      <c r="AC20" s="13" t="str">
        <f t="shared" si="75"/>
        <v>A9</v>
      </c>
      <c r="AD20" s="14" t="str">
        <f t="shared" si="76"/>
        <v>E4</v>
      </c>
      <c r="AE20" s="17" t="str">
        <f t="shared" si="77"/>
        <v>4e</v>
      </c>
      <c r="AF20" s="13" t="str">
        <f t="shared" si="39"/>
        <v>ef</v>
      </c>
      <c r="AG20" s="13" t="str">
        <f t="shared" si="40"/>
        <v>d3</v>
      </c>
      <c r="AH20" s="14" t="str">
        <f t="shared" si="41"/>
        <v>69</v>
      </c>
      <c r="AI20" s="17" t="str">
        <f>AG20</f>
        <v>d3</v>
      </c>
      <c r="AJ20" s="13" t="str">
        <f>AH20</f>
        <v>69</v>
      </c>
      <c r="AK20" s="13" t="str">
        <f>AE20</f>
        <v>4e</v>
      </c>
      <c r="AL20" s="14" t="str">
        <f>AF20</f>
        <v>ef</v>
      </c>
      <c r="AM20" s="17" t="str">
        <f>GFMult(AI18,AI19,AI20,AI21,2)</f>
        <v>34</v>
      </c>
      <c r="AN20" s="13" t="str">
        <f>GFMult(AJ18,AJ19,AJ20,AJ21,2)</f>
        <v>D0</v>
      </c>
      <c r="AO20" s="13" t="str">
        <f t="shared" ref="AO20" si="82">GFMult(AK18,AK19,AK20,AK21,2)</f>
        <v>0</v>
      </c>
      <c r="AP20" s="14" t="str">
        <f t="shared" ref="AP20" si="83">GFMult(AL18,AL19,AL20,AL21,2)</f>
        <v>3C</v>
      </c>
      <c r="AQ20" s="17" t="str">
        <f>HexXor(AQ16,AesSubbytes(AT17))</f>
        <v>A2</v>
      </c>
      <c r="AR20" s="13" t="str">
        <f t="shared" ref="AR20:AT20" si="84">HexXor(AQ20,AR16)</f>
        <v>F8</v>
      </c>
      <c r="AS20" s="13" t="str">
        <f t="shared" si="84"/>
        <v>CD</v>
      </c>
      <c r="AT20" s="14" t="str">
        <f t="shared" si="84"/>
        <v>D6</v>
      </c>
      <c r="AU20" s="64"/>
      <c r="AV20" s="65"/>
      <c r="AW20" s="65"/>
      <c r="AX20" s="65"/>
      <c r="AY20" s="66"/>
    </row>
    <row r="21" spans="5:51">
      <c r="E21" s="55" t="s">
        <v>7</v>
      </c>
      <c r="F21" s="56"/>
      <c r="G21" s="56"/>
      <c r="H21" s="57"/>
      <c r="I21" s="55" t="s">
        <v>8</v>
      </c>
      <c r="J21" s="56"/>
      <c r="K21" s="56"/>
      <c r="L21" s="57"/>
      <c r="M21" s="55" t="s">
        <v>9</v>
      </c>
      <c r="N21" s="56"/>
      <c r="O21" s="56"/>
      <c r="P21" s="57"/>
      <c r="Q21" s="55" t="s">
        <v>10</v>
      </c>
      <c r="R21" s="56"/>
      <c r="S21" s="56"/>
      <c r="T21" s="57"/>
      <c r="Z21" s="49"/>
      <c r="AA21" s="15" t="str">
        <f t="shared" si="73"/>
        <v>4C</v>
      </c>
      <c r="AB21" s="15" t="str">
        <f t="shared" si="74"/>
        <v>DA</v>
      </c>
      <c r="AC21" s="15" t="str">
        <f t="shared" si="75"/>
        <v>5D</v>
      </c>
      <c r="AD21" s="16" t="str">
        <f t="shared" si="76"/>
        <v>5A</v>
      </c>
      <c r="AE21" s="18" t="str">
        <f t="shared" si="77"/>
        <v>29</v>
      </c>
      <c r="AF21" s="15" t="str">
        <f t="shared" si="39"/>
        <v>57</v>
      </c>
      <c r="AG21" s="15" t="str">
        <f t="shared" si="40"/>
        <v>4c</v>
      </c>
      <c r="AH21" s="16" t="str">
        <f t="shared" si="41"/>
        <v>be</v>
      </c>
      <c r="AI21" s="18" t="str">
        <f>AH21</f>
        <v>be</v>
      </c>
      <c r="AJ21" s="15" t="str">
        <f>AE21</f>
        <v>29</v>
      </c>
      <c r="AK21" s="15" t="str">
        <f>AF21</f>
        <v>57</v>
      </c>
      <c r="AL21" s="16" t="str">
        <f>AG21</f>
        <v>4c</v>
      </c>
      <c r="AM21" s="18" t="str">
        <f>GFMult(AI18,AI19,AI20,AI21,3)</f>
        <v>CC</v>
      </c>
      <c r="AN21" s="15" t="str">
        <f>GFMult(AJ18,AJ19,AJ20,AJ21,3)</f>
        <v>5A</v>
      </c>
      <c r="AO21" s="15" t="str">
        <f t="shared" ref="AO21" si="85">GFMult(AK18,AK19,AK20,AK21,3)</f>
        <v>C7</v>
      </c>
      <c r="AP21" s="16" t="str">
        <f t="shared" ref="AP21" si="86">GFMult(AL18,AL19,AL20,AL21,3)</f>
        <v>96</v>
      </c>
      <c r="AQ21" s="18" t="str">
        <f>HexXor(AQ17,AesSubbytes(AT14))</f>
        <v>AC</v>
      </c>
      <c r="AR21" s="15" t="str">
        <f t="shared" ref="AR21:AT21" si="87">HexXor(AQ21,AR17)</f>
        <v>34</v>
      </c>
      <c r="AS21" s="15" t="str">
        <f t="shared" si="87"/>
        <v>C5</v>
      </c>
      <c r="AT21" s="16" t="str">
        <f t="shared" si="87"/>
        <v>8C</v>
      </c>
      <c r="AU21" s="64"/>
      <c r="AV21" s="65"/>
      <c r="AW21" s="65"/>
      <c r="AX21" s="65"/>
      <c r="AY21" s="66"/>
    </row>
    <row r="22" spans="5:51">
      <c r="E22" s="17" t="str">
        <f>AQ22</f>
        <v>7</v>
      </c>
      <c r="F22" s="13" t="str">
        <f t="shared" ref="F22:H22" si="88">AR22</f>
        <v>3D</v>
      </c>
      <c r="G22" s="13" t="str">
        <f t="shared" si="88"/>
        <v>34</v>
      </c>
      <c r="H22" s="14" t="str">
        <f t="shared" si="88"/>
        <v>3A</v>
      </c>
      <c r="I22" s="17" t="str">
        <f>AQ26</f>
        <v>5C</v>
      </c>
      <c r="J22" s="13" t="str">
        <f t="shared" ref="J22:L22" si="89">AR26</f>
        <v>61</v>
      </c>
      <c r="K22" s="13" t="str">
        <f t="shared" si="89"/>
        <v>55</v>
      </c>
      <c r="L22" s="14" t="str">
        <f t="shared" si="89"/>
        <v>6F</v>
      </c>
      <c r="M22" s="17" t="str">
        <f>AQ30</f>
        <v>19</v>
      </c>
      <c r="N22" s="13" t="str">
        <f t="shared" ref="N22:P22" si="90">AR30</f>
        <v>78</v>
      </c>
      <c r="O22" s="13" t="str">
        <f t="shared" si="90"/>
        <v>2D</v>
      </c>
      <c r="P22" s="14" t="str">
        <f t="shared" si="90"/>
        <v>42</v>
      </c>
      <c r="Q22" s="17" t="str">
        <f>AQ34</f>
        <v>12</v>
      </c>
      <c r="R22" s="13" t="str">
        <f t="shared" ref="R22:T22" si="91">AR34</f>
        <v>6A</v>
      </c>
      <c r="S22" s="13" t="str">
        <f t="shared" si="91"/>
        <v>47</v>
      </c>
      <c r="T22" s="14" t="str">
        <f t="shared" si="91"/>
        <v>5</v>
      </c>
      <c r="Z22" s="47">
        <v>4</v>
      </c>
      <c r="AA22" s="12" t="str">
        <f>HexXor(AM18,AQ18)</f>
        <v>8E</v>
      </c>
      <c r="AB22" s="13" t="str">
        <f t="shared" si="74"/>
        <v>FD</v>
      </c>
      <c r="AC22" s="13" t="str">
        <f t="shared" si="75"/>
        <v>9E</v>
      </c>
      <c r="AD22" s="14" t="str">
        <f t="shared" si="76"/>
        <v>BC</v>
      </c>
      <c r="AE22" s="17" t="str">
        <f>AesSubbytes(AA22)</f>
        <v>19</v>
      </c>
      <c r="AF22" s="13" t="str">
        <f t="shared" si="39"/>
        <v>54</v>
      </c>
      <c r="AG22" s="13" t="str">
        <f t="shared" si="40"/>
        <v>0b</v>
      </c>
      <c r="AH22" s="14" t="str">
        <f t="shared" si="41"/>
        <v>65</v>
      </c>
      <c r="AI22" s="17" t="str">
        <f>AE22</f>
        <v>19</v>
      </c>
      <c r="AJ22" s="13" t="str">
        <f t="shared" ref="AJ22" si="92">AF22</f>
        <v>54</v>
      </c>
      <c r="AK22" s="13" t="str">
        <f t="shared" ref="AK22" si="93">AG22</f>
        <v>0b</v>
      </c>
      <c r="AL22" s="14" t="str">
        <f t="shared" ref="AL22" si="94">AH22</f>
        <v>65</v>
      </c>
      <c r="AM22" s="17" t="str">
        <f>GFMult(AI22,AI23,AI24,AI25,0)</f>
        <v>DB</v>
      </c>
      <c r="AN22" s="13" t="str">
        <f>GFMult(AJ22,AJ23,AJ24,AJ25,0)</f>
        <v>C7</v>
      </c>
      <c r="AO22" s="13" t="str">
        <f t="shared" ref="AO22" si="95">GFMult(AK22,AK23,AK24,AK25,0)</f>
        <v>ED</v>
      </c>
      <c r="AP22" s="14" t="str">
        <f t="shared" ref="AP22" si="96">GFMult(AL22,AL23,AL24,AL25,0)</f>
        <v>BF</v>
      </c>
      <c r="AQ22" s="17" t="str">
        <f>HexXor(AQ18,HexXor(AesSubbytes(AT19),"08"))</f>
        <v>7</v>
      </c>
      <c r="AR22" s="13" t="str">
        <f>HexXor(AQ22,AR18)</f>
        <v>3D</v>
      </c>
      <c r="AS22" s="13" t="str">
        <f t="shared" ref="AS22:AT22" si="97">HexXor(AR22,AS18)</f>
        <v>34</v>
      </c>
      <c r="AT22" s="14" t="str">
        <f t="shared" si="97"/>
        <v>3A</v>
      </c>
      <c r="AU22" s="64"/>
      <c r="AV22" s="65"/>
      <c r="AW22" s="65"/>
      <c r="AX22" s="65"/>
      <c r="AY22" s="66"/>
    </row>
    <row r="23" spans="5:51">
      <c r="E23" s="17" t="str">
        <f t="shared" ref="E23:E25" si="98">AQ23</f>
        <v>83</v>
      </c>
      <c r="F23" s="13" t="str">
        <f t="shared" ref="F23:F25" si="99">AR23</f>
        <v>BF</v>
      </c>
      <c r="G23" s="13" t="str">
        <f t="shared" ref="G23:G25" si="100">AS23</f>
        <v>73</v>
      </c>
      <c r="H23" s="14" t="str">
        <f t="shared" ref="H23:H25" si="101">AT23</f>
        <v>CC</v>
      </c>
      <c r="I23" s="17" t="str">
        <f t="shared" ref="I23:I25" si="102">AQ27</f>
        <v>BC</v>
      </c>
      <c r="J23" s="13" t="str">
        <f t="shared" ref="J23:J25" si="103">AR27</f>
        <v>3</v>
      </c>
      <c r="K23" s="13" t="str">
        <f t="shared" ref="K23:K25" si="104">AS27</f>
        <v>70</v>
      </c>
      <c r="L23" s="14" t="str">
        <f t="shared" ref="L23:L25" si="105">AT27</f>
        <v>BC</v>
      </c>
      <c r="M23" s="17" t="str">
        <f t="shared" ref="M23:M25" si="106">AQ31</f>
        <v>3</v>
      </c>
      <c r="N23" s="13" t="str">
        <f t="shared" ref="N23:N25" si="107">AR31</f>
        <v>0</v>
      </c>
      <c r="O23" s="13" t="str">
        <f t="shared" ref="O23:O25" si="108">AS31</f>
        <v>70</v>
      </c>
      <c r="P23" s="14" t="str">
        <f t="shared" ref="P23:P25" si="109">AT31</f>
        <v>CC</v>
      </c>
      <c r="Q23" s="17" t="str">
        <f t="shared" ref="Q23:Q25" si="110">AQ35</f>
        <v>9F</v>
      </c>
      <c r="R23" s="13" t="str">
        <f t="shared" ref="R23:R25" si="111">AR35</f>
        <v>9F</v>
      </c>
      <c r="S23" s="13" t="str">
        <f t="shared" ref="S23:S25" si="112">AS35</f>
        <v>EF</v>
      </c>
      <c r="T23" s="14" t="str">
        <f t="shared" ref="T23:T25" si="113">AT35</f>
        <v>23</v>
      </c>
      <c r="Z23" s="48"/>
      <c r="AA23" s="13" t="str">
        <f t="shared" ref="AA23:AA25" si="114">HexXor(AM19,AQ19)</f>
        <v>39</v>
      </c>
      <c r="AB23" s="13" t="str">
        <f t="shared" si="74"/>
        <v>48</v>
      </c>
      <c r="AC23" s="13" t="str">
        <f t="shared" si="75"/>
        <v>E0</v>
      </c>
      <c r="AD23" s="14" t="str">
        <f t="shared" si="76"/>
        <v>29</v>
      </c>
      <c r="AE23" s="17" t="str">
        <f t="shared" ref="AE23:AE25" si="115">AesSubbytes(AA23)</f>
        <v>12</v>
      </c>
      <c r="AF23" s="13" t="str">
        <f t="shared" si="39"/>
        <v>52</v>
      </c>
      <c r="AG23" s="13" t="str">
        <f t="shared" si="40"/>
        <v>e1</v>
      </c>
      <c r="AH23" s="14" t="str">
        <f t="shared" si="41"/>
        <v>a5</v>
      </c>
      <c r="AI23" s="17" t="str">
        <f>AF23</f>
        <v>52</v>
      </c>
      <c r="AJ23" s="13" t="str">
        <f t="shared" ref="AJ23" si="116">AG23</f>
        <v>e1</v>
      </c>
      <c r="AK23" s="13" t="str">
        <f>AH23</f>
        <v>a5</v>
      </c>
      <c r="AL23" s="14" t="str">
        <f>AE23</f>
        <v>12</v>
      </c>
      <c r="AM23" s="17" t="str">
        <f>GFMult(AI22,AI23,AI24,AI25,1)</f>
        <v>C3</v>
      </c>
      <c r="AN23" s="13" t="str">
        <f>GFMult(AJ22,AJ23,AJ24,AJ25,1)</f>
        <v>CF</v>
      </c>
      <c r="AO23" s="13" t="str">
        <f t="shared" ref="AO23" si="117">GFMult(AK22,AK23,AK24,AK25,1)</f>
        <v>6E</v>
      </c>
      <c r="AP23" s="14" t="str">
        <f t="shared" ref="AP23" si="118">GFMult(AL22,AL23,AL24,AL25,1)</f>
        <v>6A</v>
      </c>
      <c r="AQ23" s="17" t="str">
        <f>HexXor(AQ19,AesSubbytes(AT20))</f>
        <v>83</v>
      </c>
      <c r="AR23" s="13" t="str">
        <f t="shared" ref="AR23:AT23" si="119">HexXor(AQ23,AR19)</f>
        <v>BF</v>
      </c>
      <c r="AS23" s="13" t="str">
        <f t="shared" si="119"/>
        <v>73</v>
      </c>
      <c r="AT23" s="14" t="str">
        <f t="shared" si="119"/>
        <v>CC</v>
      </c>
      <c r="AU23" s="64"/>
      <c r="AV23" s="65"/>
      <c r="AW23" s="65"/>
      <c r="AX23" s="65"/>
      <c r="AY23" s="66"/>
    </row>
    <row r="24" spans="5:51">
      <c r="E24" s="17" t="str">
        <f t="shared" si="98"/>
        <v>C6</v>
      </c>
      <c r="F24" s="13" t="str">
        <f t="shared" si="99"/>
        <v>3E</v>
      </c>
      <c r="G24" s="13" t="str">
        <f t="shared" si="100"/>
        <v>F3</v>
      </c>
      <c r="H24" s="14" t="str">
        <f t="shared" si="101"/>
        <v>25</v>
      </c>
      <c r="I24" s="17" t="str">
        <f t="shared" si="102"/>
        <v>1C</v>
      </c>
      <c r="J24" s="13" t="str">
        <f t="shared" si="103"/>
        <v>22</v>
      </c>
      <c r="K24" s="13" t="str">
        <f t="shared" si="104"/>
        <v>D1</v>
      </c>
      <c r="L24" s="14" t="str">
        <f t="shared" si="105"/>
        <v>F4</v>
      </c>
      <c r="M24" s="17" t="str">
        <f t="shared" si="106"/>
        <v>1B</v>
      </c>
      <c r="N24" s="13" t="str">
        <f t="shared" si="107"/>
        <v>39</v>
      </c>
      <c r="O24" s="13" t="str">
        <f t="shared" si="108"/>
        <v>E8</v>
      </c>
      <c r="P24" s="14" t="str">
        <f t="shared" si="109"/>
        <v>1C</v>
      </c>
      <c r="Q24" s="17" t="str">
        <f t="shared" si="110"/>
        <v>E3</v>
      </c>
      <c r="R24" s="13" t="str">
        <f t="shared" si="111"/>
        <v>DA</v>
      </c>
      <c r="S24" s="13" t="str">
        <f t="shared" si="112"/>
        <v>32</v>
      </c>
      <c r="T24" s="14" t="str">
        <f t="shared" si="113"/>
        <v>2E</v>
      </c>
      <c r="Z24" s="48"/>
      <c r="AA24" s="13" t="str">
        <f t="shared" si="114"/>
        <v>96</v>
      </c>
      <c r="AB24" s="13" t="str">
        <f t="shared" si="74"/>
        <v>28</v>
      </c>
      <c r="AC24" s="13" t="str">
        <f t="shared" si="75"/>
        <v>CD</v>
      </c>
      <c r="AD24" s="14" t="str">
        <f t="shared" si="76"/>
        <v>EA</v>
      </c>
      <c r="AE24" s="17" t="str">
        <f t="shared" si="115"/>
        <v>90</v>
      </c>
      <c r="AF24" s="13" t="str">
        <f t="shared" si="39"/>
        <v>34</v>
      </c>
      <c r="AG24" s="13" t="str">
        <f t="shared" si="40"/>
        <v>bd</v>
      </c>
      <c r="AH24" s="14" t="str">
        <f t="shared" si="41"/>
        <v>87</v>
      </c>
      <c r="AI24" s="17" t="str">
        <f>AG24</f>
        <v>bd</v>
      </c>
      <c r="AJ24" s="13" t="str">
        <f>AH24</f>
        <v>87</v>
      </c>
      <c r="AK24" s="13" t="str">
        <f>AE24</f>
        <v>90</v>
      </c>
      <c r="AL24" s="14" t="str">
        <f>AF24</f>
        <v>34</v>
      </c>
      <c r="AM24" s="17" t="str">
        <f>GFMult(AI22,AI23,AI24,AI25,2)</f>
        <v>D7</v>
      </c>
      <c r="AN24" s="13" t="str">
        <f>GFMult(AJ22,AJ23,AJ24,AJ25,2)</f>
        <v>CB</v>
      </c>
      <c r="AO24" s="13" t="str">
        <f t="shared" ref="AO24" si="120">GFMult(AK22,AK23,AK24,AK25,2)</f>
        <v>2F</v>
      </c>
      <c r="AP24" s="14" t="str">
        <f t="shared" ref="AP24" si="121">GFMult(AL22,AL23,AL24,AL25,2)</f>
        <v>86</v>
      </c>
      <c r="AQ24" s="17" t="str">
        <f>HexXor(AQ20,AesSubbytes(AT21))</f>
        <v>C6</v>
      </c>
      <c r="AR24" s="13" t="str">
        <f t="shared" ref="AR24:AT24" si="122">HexXor(AQ24,AR20)</f>
        <v>3E</v>
      </c>
      <c r="AS24" s="13" t="str">
        <f t="shared" si="122"/>
        <v>F3</v>
      </c>
      <c r="AT24" s="14" t="str">
        <f t="shared" si="122"/>
        <v>25</v>
      </c>
      <c r="AU24" s="64"/>
      <c r="AV24" s="65"/>
      <c r="AW24" s="65"/>
      <c r="AX24" s="65"/>
      <c r="AY24" s="66"/>
    </row>
    <row r="25" spans="5:51">
      <c r="E25" s="18" t="str">
        <f t="shared" si="98"/>
        <v>7</v>
      </c>
      <c r="F25" s="15" t="str">
        <f t="shared" si="99"/>
        <v>33</v>
      </c>
      <c r="G25" s="15" t="str">
        <f t="shared" si="100"/>
        <v>F6</v>
      </c>
      <c r="H25" s="16" t="str">
        <f t="shared" si="101"/>
        <v>7A</v>
      </c>
      <c r="I25" s="18" t="str">
        <f t="shared" si="102"/>
        <v>87</v>
      </c>
      <c r="J25" s="15" t="str">
        <f t="shared" si="103"/>
        <v>B4</v>
      </c>
      <c r="K25" s="15" t="str">
        <f t="shared" si="104"/>
        <v>42</v>
      </c>
      <c r="L25" s="16" t="str">
        <f t="shared" si="105"/>
        <v>38</v>
      </c>
      <c r="M25" s="18" t="str">
        <f t="shared" si="106"/>
        <v>2F</v>
      </c>
      <c r="N25" s="15" t="str">
        <f t="shared" si="107"/>
        <v>9B</v>
      </c>
      <c r="O25" s="15" t="str">
        <f t="shared" si="108"/>
        <v>D9</v>
      </c>
      <c r="P25" s="16" t="str">
        <f t="shared" si="109"/>
        <v>E1</v>
      </c>
      <c r="Q25" s="18" t="str">
        <f t="shared" si="110"/>
        <v>3</v>
      </c>
      <c r="R25" s="15" t="str">
        <f t="shared" si="111"/>
        <v>98</v>
      </c>
      <c r="S25" s="15" t="str">
        <f t="shared" si="112"/>
        <v>41</v>
      </c>
      <c r="T25" s="16" t="str">
        <f t="shared" si="113"/>
        <v>A0</v>
      </c>
      <c r="Z25" s="49"/>
      <c r="AA25" s="15" t="str">
        <f t="shared" si="114"/>
        <v>60</v>
      </c>
      <c r="AB25" s="15" t="str">
        <f t="shared" si="74"/>
        <v>6E</v>
      </c>
      <c r="AC25" s="15" t="str">
        <f t="shared" si="75"/>
        <v>2</v>
      </c>
      <c r="AD25" s="16" t="str">
        <f t="shared" si="76"/>
        <v>1A</v>
      </c>
      <c r="AE25" s="18" t="str">
        <f t="shared" si="115"/>
        <v>d0</v>
      </c>
      <c r="AF25" s="15" t="str">
        <f t="shared" si="39"/>
        <v>9f</v>
      </c>
      <c r="AG25" s="15" t="str">
        <f t="shared" si="40"/>
        <v>77</v>
      </c>
      <c r="AH25" s="16" t="str">
        <f t="shared" si="41"/>
        <v>a2</v>
      </c>
      <c r="AI25" s="18" t="str">
        <f>AH25</f>
        <v>a2</v>
      </c>
      <c r="AJ25" s="15" t="str">
        <f>AE25</f>
        <v>d0</v>
      </c>
      <c r="AK25" s="15" t="str">
        <f>AF25</f>
        <v>9f</v>
      </c>
      <c r="AL25" s="16" t="str">
        <f>AG25</f>
        <v>77</v>
      </c>
      <c r="AM25" s="18" t="str">
        <f>GFMult(AI22,AI23,AI24,AI25,3)</f>
        <v>9B</v>
      </c>
      <c r="AN25" s="15" t="str">
        <f>GFMult(AJ22,AJ23,AJ24,AJ25,3)</f>
        <v>21</v>
      </c>
      <c r="AO25" s="15" t="str">
        <f t="shared" ref="AO25" si="123">GFMult(AK22,AK23,AK24,AK25,3)</f>
        <v>D</v>
      </c>
      <c r="AP25" s="16" t="str">
        <f t="shared" ref="AP25" si="124">GFMult(AL22,AL23,AL24,AL25,3)</f>
        <v>67</v>
      </c>
      <c r="AQ25" s="18" t="str">
        <f>HexXor(AQ21,AesSubbytes(AT18))</f>
        <v>7</v>
      </c>
      <c r="AR25" s="15" t="str">
        <f t="shared" ref="AR25:AT25" si="125">HexXor(AQ25,AR21)</f>
        <v>33</v>
      </c>
      <c r="AS25" s="15" t="str">
        <f t="shared" si="125"/>
        <v>F6</v>
      </c>
      <c r="AT25" s="16" t="str">
        <f t="shared" si="125"/>
        <v>7A</v>
      </c>
      <c r="AU25" s="64"/>
      <c r="AV25" s="65"/>
      <c r="AW25" s="65"/>
      <c r="AX25" s="65"/>
      <c r="AY25" s="66"/>
    </row>
    <row r="26" spans="5:51">
      <c r="E26" s="55" t="s">
        <v>11</v>
      </c>
      <c r="F26" s="56"/>
      <c r="G26" s="56"/>
      <c r="H26" s="57"/>
      <c r="I26" s="55" t="s">
        <v>12</v>
      </c>
      <c r="J26" s="56"/>
      <c r="K26" s="56"/>
      <c r="L26" s="57"/>
      <c r="M26" s="55" t="s">
        <v>13</v>
      </c>
      <c r="N26" s="56"/>
      <c r="O26" s="56"/>
      <c r="P26" s="57"/>
      <c r="Q26" s="2"/>
      <c r="R26" s="2"/>
      <c r="S26" s="2"/>
      <c r="T26" s="2"/>
      <c r="Z26" s="47">
        <v>5</v>
      </c>
      <c r="AA26" s="12" t="str">
        <f>HexXor(AM22,AQ22)</f>
        <v>DC</v>
      </c>
      <c r="AB26" s="13" t="str">
        <f t="shared" si="74"/>
        <v>FA</v>
      </c>
      <c r="AC26" s="13" t="str">
        <f t="shared" si="75"/>
        <v>D9</v>
      </c>
      <c r="AD26" s="14" t="str">
        <f t="shared" si="76"/>
        <v>85</v>
      </c>
      <c r="AE26" s="17" t="str">
        <f>AesSubbytes(AA26)</f>
        <v>86</v>
      </c>
      <c r="AF26" s="13" t="str">
        <f t="shared" si="39"/>
        <v>2d</v>
      </c>
      <c r="AG26" s="13" t="str">
        <f t="shared" si="40"/>
        <v>35</v>
      </c>
      <c r="AH26" s="14" t="str">
        <f t="shared" si="41"/>
        <v>97</v>
      </c>
      <c r="AI26" s="17" t="str">
        <f>AE26</f>
        <v>86</v>
      </c>
      <c r="AJ26" s="13" t="str">
        <f t="shared" ref="AJ26" si="126">AF26</f>
        <v>2d</v>
      </c>
      <c r="AK26" s="13" t="str">
        <f t="shared" ref="AK26" si="127">AG26</f>
        <v>35</v>
      </c>
      <c r="AL26" s="14" t="str">
        <f t="shared" ref="AL26" si="128">AH26</f>
        <v>97</v>
      </c>
      <c r="AM26" s="17" t="str">
        <f>GFMult(AI26,AI27,AI28,AI29,0)</f>
        <v>C6</v>
      </c>
      <c r="AN26" s="13" t="str">
        <f>GFMult(AJ26,AJ27,AJ28,AJ29,0)</f>
        <v>79</v>
      </c>
      <c r="AO26" s="13" t="str">
        <f t="shared" ref="AO26" si="129">GFMult(AK26,AK27,AK28,AK29,0)</f>
        <v>4D</v>
      </c>
      <c r="AP26" s="14" t="str">
        <f t="shared" ref="AP26" si="130">GFMult(AL26,AL27,AL28,AL29,0)</f>
        <v>C7</v>
      </c>
      <c r="AQ26" s="17" t="str">
        <f>HexXor(AQ22,HexXor(AesSubbytes(AT23),"10"))</f>
        <v>5C</v>
      </c>
      <c r="AR26" s="13" t="str">
        <f>HexXor(AQ26,AR22)</f>
        <v>61</v>
      </c>
      <c r="AS26" s="13" t="str">
        <f t="shared" ref="AS26:AT26" si="131">HexXor(AR26,AS22)</f>
        <v>55</v>
      </c>
      <c r="AT26" s="14" t="str">
        <f t="shared" si="131"/>
        <v>6F</v>
      </c>
      <c r="AU26" s="64"/>
      <c r="AV26" s="65"/>
      <c r="AW26" s="65"/>
      <c r="AX26" s="65"/>
      <c r="AY26" s="66"/>
    </row>
    <row r="27" spans="5:51">
      <c r="E27" s="17" t="str">
        <f>AQ38</f>
        <v>B4</v>
      </c>
      <c r="F27" s="13" t="str">
        <f t="shared" ref="F27:H27" si="132">AR38</f>
        <v>DE</v>
      </c>
      <c r="G27" s="13" t="str">
        <f t="shared" si="132"/>
        <v>99</v>
      </c>
      <c r="H27" s="14" t="str">
        <f t="shared" si="132"/>
        <v>9C</v>
      </c>
      <c r="I27" s="17" t="str">
        <f>AQ42</f>
        <v>FB</v>
      </c>
      <c r="J27" s="13" t="str">
        <f t="shared" ref="J27:L27" si="133">AR42</f>
        <v>25</v>
      </c>
      <c r="K27" s="13" t="str">
        <f t="shared" si="133"/>
        <v>BC</v>
      </c>
      <c r="L27" s="14" t="str">
        <f t="shared" si="133"/>
        <v>20</v>
      </c>
      <c r="M27" s="17" t="str">
        <f>AQ46</f>
        <v>6F</v>
      </c>
      <c r="N27" s="13" t="str">
        <f t="shared" ref="N27:P27" si="134">AR46</f>
        <v>4A</v>
      </c>
      <c r="O27" s="13" t="str">
        <f t="shared" si="134"/>
        <v>F6</v>
      </c>
      <c r="P27" s="14" t="str">
        <f t="shared" si="134"/>
        <v>D6</v>
      </c>
      <c r="Z27" s="48"/>
      <c r="AA27" s="13" t="str">
        <f t="shared" ref="AA27:AA29" si="135">HexXor(AM23,AQ23)</f>
        <v>40</v>
      </c>
      <c r="AB27" s="13" t="str">
        <f t="shared" si="74"/>
        <v>70</v>
      </c>
      <c r="AC27" s="13" t="str">
        <f t="shared" si="75"/>
        <v>1D</v>
      </c>
      <c r="AD27" s="14" t="str">
        <f t="shared" si="76"/>
        <v>A6</v>
      </c>
      <c r="AE27" s="17" t="str">
        <f t="shared" ref="AE27:AE29" si="136">AesSubbytes(AA27)</f>
        <v>9</v>
      </c>
      <c r="AF27" s="13" t="str">
        <f t="shared" si="39"/>
        <v>51</v>
      </c>
      <c r="AG27" s="13" t="str">
        <f t="shared" si="40"/>
        <v>a4</v>
      </c>
      <c r="AH27" s="14" t="str">
        <f t="shared" si="41"/>
        <v>24</v>
      </c>
      <c r="AI27" s="17" t="str">
        <f>AF27</f>
        <v>51</v>
      </c>
      <c r="AJ27" s="13" t="str">
        <f t="shared" ref="AJ27" si="137">AG27</f>
        <v>a4</v>
      </c>
      <c r="AK27" s="13" t="str">
        <f>AH27</f>
        <v>24</v>
      </c>
      <c r="AL27" s="14" t="str">
        <f>AE27</f>
        <v>9</v>
      </c>
      <c r="AM27" s="17" t="str">
        <f>GFMult(AI26,AI27,AI28,AI29,1)</f>
        <v>11</v>
      </c>
      <c r="AN27" s="13" t="str">
        <f>GFMult(AJ26,AJ27,AJ28,AJ29,1)</f>
        <v>BE</v>
      </c>
      <c r="AO27" s="13" t="str">
        <f t="shared" ref="AO27" si="138">GFMult(AK26,AK27,AK28,AK29,1)</f>
        <v>29</v>
      </c>
      <c r="AP27" s="14" t="str">
        <f t="shared" ref="AP27" si="139">GFMult(AL26,AL27,AL28,AL29,1)</f>
        <v>BB</v>
      </c>
      <c r="AQ27" s="17" t="str">
        <f>HexXor(AQ23,AesSubbytes(AT24))</f>
        <v>BC</v>
      </c>
      <c r="AR27" s="13" t="str">
        <f t="shared" ref="AR27:AT27" si="140">HexXor(AQ27,AR23)</f>
        <v>3</v>
      </c>
      <c r="AS27" s="13" t="str">
        <f t="shared" si="140"/>
        <v>70</v>
      </c>
      <c r="AT27" s="14" t="str">
        <f t="shared" si="140"/>
        <v>BC</v>
      </c>
      <c r="AU27" s="64"/>
      <c r="AV27" s="65"/>
      <c r="AW27" s="65"/>
      <c r="AX27" s="65"/>
      <c r="AY27" s="66"/>
    </row>
    <row r="28" spans="5:51">
      <c r="E28" s="17" t="str">
        <f t="shared" ref="E28:E30" si="141">AQ39</f>
        <v>AE</v>
      </c>
      <c r="F28" s="13" t="str">
        <f t="shared" ref="F28:F30" si="142">AR39</f>
        <v>31</v>
      </c>
      <c r="G28" s="13" t="str">
        <f t="shared" ref="G28:G30" si="143">AS39</f>
        <v>DE</v>
      </c>
      <c r="H28" s="14" t="str">
        <f t="shared" ref="H28:H30" si="144">AT39</f>
        <v>FD</v>
      </c>
      <c r="I28" s="17" t="str">
        <f t="shared" ref="I28:I30" si="145">AQ43</f>
        <v>8</v>
      </c>
      <c r="J28" s="13" t="str">
        <f t="shared" ref="J28:J30" si="146">AR43</f>
        <v>39</v>
      </c>
      <c r="K28" s="13" t="str">
        <f t="shared" ref="K28:K30" si="147">AS43</f>
        <v>E7</v>
      </c>
      <c r="L28" s="14" t="str">
        <f t="shared" ref="L28:L30" si="148">AT43</f>
        <v>1A</v>
      </c>
      <c r="M28" s="17" t="str">
        <f t="shared" ref="M28:M30" si="149">AQ47</f>
        <v>30</v>
      </c>
      <c r="N28" s="13" t="str">
        <f t="shared" ref="N28:N30" si="150">AR47</f>
        <v>9</v>
      </c>
      <c r="O28" s="13" t="str">
        <f t="shared" ref="O28:O30" si="151">AS47</f>
        <v>EE</v>
      </c>
      <c r="P28" s="14" t="str">
        <f t="shared" ref="P28:P30" si="152">AT47</f>
        <v>F4</v>
      </c>
      <c r="Z28" s="48"/>
      <c r="AA28" s="13" t="str">
        <f t="shared" si="135"/>
        <v>11</v>
      </c>
      <c r="AB28" s="13" t="str">
        <f t="shared" si="74"/>
        <v>F5</v>
      </c>
      <c r="AC28" s="13" t="str">
        <f t="shared" si="75"/>
        <v>DC</v>
      </c>
      <c r="AD28" s="14" t="str">
        <f t="shared" si="76"/>
        <v>A3</v>
      </c>
      <c r="AE28" s="17" t="str">
        <f t="shared" si="136"/>
        <v>82</v>
      </c>
      <c r="AF28" s="13" t="str">
        <f t="shared" si="39"/>
        <v>e6</v>
      </c>
      <c r="AG28" s="13" t="str">
        <f t="shared" si="40"/>
        <v>86</v>
      </c>
      <c r="AH28" s="14" t="str">
        <f t="shared" si="41"/>
        <v>0a</v>
      </c>
      <c r="AI28" s="17" t="str">
        <f>AG28</f>
        <v>86</v>
      </c>
      <c r="AJ28" s="13" t="str">
        <f>AH28</f>
        <v>0a</v>
      </c>
      <c r="AK28" s="13" t="str">
        <f>AE28</f>
        <v>82</v>
      </c>
      <c r="AL28" s="14" t="str">
        <f>AF28</f>
        <v>e6</v>
      </c>
      <c r="AM28" s="17" t="str">
        <f>GFMult(AI26,AI27,AI28,AI29,2)</f>
        <v>37</v>
      </c>
      <c r="AN28" s="13" t="str">
        <f>GFMult(AJ26,AJ27,AJ28,AJ29,2)</f>
        <v>E4</v>
      </c>
      <c r="AO28" s="13" t="str">
        <f t="shared" ref="AO28" si="153">GFMult(AK26,AK27,AK28,AK29,2)</f>
        <v>4E</v>
      </c>
      <c r="AP28" s="14" t="str">
        <f t="shared" ref="AP28" si="154">GFMult(AL26,AL27,AL28,AL29,2)</f>
        <v>58</v>
      </c>
      <c r="AQ28" s="17" t="str">
        <f>HexXor(AQ24,AesSubbytes(AT25))</f>
        <v>1C</v>
      </c>
      <c r="AR28" s="13" t="str">
        <f t="shared" ref="AR28:AT28" si="155">HexXor(AQ28,AR24)</f>
        <v>22</v>
      </c>
      <c r="AS28" s="13" t="str">
        <f t="shared" si="155"/>
        <v>D1</v>
      </c>
      <c r="AT28" s="14" t="str">
        <f t="shared" si="155"/>
        <v>F4</v>
      </c>
      <c r="AU28" s="64"/>
      <c r="AV28" s="65"/>
      <c r="AW28" s="65"/>
      <c r="AX28" s="65"/>
      <c r="AY28" s="66"/>
    </row>
    <row r="29" spans="5:51">
      <c r="E29" s="17" t="str">
        <f t="shared" si="141"/>
        <v>3</v>
      </c>
      <c r="F29" s="13" t="str">
        <f t="shared" si="142"/>
        <v>D9</v>
      </c>
      <c r="G29" s="13" t="str">
        <f t="shared" si="143"/>
        <v>EB</v>
      </c>
      <c r="H29" s="14" t="str">
        <f t="shared" si="144"/>
        <v>C5</v>
      </c>
      <c r="I29" s="17" t="str">
        <f t="shared" si="145"/>
        <v>81</v>
      </c>
      <c r="J29" s="13" t="str">
        <f t="shared" si="146"/>
        <v>58</v>
      </c>
      <c r="K29" s="13" t="str">
        <f t="shared" si="147"/>
        <v>B3</v>
      </c>
      <c r="L29" s="14" t="str">
        <f t="shared" si="148"/>
        <v>76</v>
      </c>
      <c r="M29" s="17" t="str">
        <f t="shared" si="149"/>
        <v>F</v>
      </c>
      <c r="N29" s="13" t="str">
        <f t="shared" si="150"/>
        <v>57</v>
      </c>
      <c r="O29" s="13" t="str">
        <f t="shared" si="151"/>
        <v>E4</v>
      </c>
      <c r="P29" s="14" t="str">
        <f t="shared" si="152"/>
        <v>92</v>
      </c>
      <c r="Z29" s="49"/>
      <c r="AA29" s="15" t="str">
        <f t="shared" si="135"/>
        <v>9C</v>
      </c>
      <c r="AB29" s="15" t="str">
        <f t="shared" si="74"/>
        <v>12</v>
      </c>
      <c r="AC29" s="15" t="str">
        <f t="shared" si="75"/>
        <v>FB</v>
      </c>
      <c r="AD29" s="16" t="str">
        <f t="shared" si="76"/>
        <v>1D</v>
      </c>
      <c r="AE29" s="18" t="str">
        <f t="shared" si="136"/>
        <v>de</v>
      </c>
      <c r="AF29" s="15" t="str">
        <f t="shared" si="39"/>
        <v>c9</v>
      </c>
      <c r="AG29" s="15" t="str">
        <f t="shared" si="40"/>
        <v>0f</v>
      </c>
      <c r="AH29" s="16" t="str">
        <f t="shared" si="41"/>
        <v>a4</v>
      </c>
      <c r="AI29" s="18" t="str">
        <f>AH29</f>
        <v>a4</v>
      </c>
      <c r="AJ29" s="15" t="str">
        <f>AE29</f>
        <v>de</v>
      </c>
      <c r="AK29" s="15" t="str">
        <f>AF29</f>
        <v>c9</v>
      </c>
      <c r="AL29" s="16" t="str">
        <f>AG29</f>
        <v>0f</v>
      </c>
      <c r="AM29" s="18" t="str">
        <f>GFMult(AI26,AI27,AI28,AI29,3)</f>
        <v>15</v>
      </c>
      <c r="AN29" s="15" t="str">
        <f>GFMult(AJ26,AJ27,AJ28,AJ29,3)</f>
        <v>7E</v>
      </c>
      <c r="AO29" s="15" t="str">
        <f t="shared" ref="AO29" si="156">GFMult(AK26,AK27,AK28,AK29,3)</f>
        <v>70</v>
      </c>
      <c r="AP29" s="16" t="str">
        <f t="shared" ref="AP29" si="157">GFMult(AL26,AL27,AL28,AL29,3)</f>
        <v>53</v>
      </c>
      <c r="AQ29" s="18" t="str">
        <f>HexXor(AQ25,AesSubbytes(AT22))</f>
        <v>87</v>
      </c>
      <c r="AR29" s="15" t="str">
        <f t="shared" ref="AR29:AT29" si="158">HexXor(AQ29,AR25)</f>
        <v>B4</v>
      </c>
      <c r="AS29" s="15" t="str">
        <f t="shared" si="158"/>
        <v>42</v>
      </c>
      <c r="AT29" s="16" t="str">
        <f t="shared" si="158"/>
        <v>38</v>
      </c>
      <c r="AU29" s="64"/>
      <c r="AV29" s="65"/>
      <c r="AW29" s="65"/>
      <c r="AX29" s="65"/>
      <c r="AY29" s="66"/>
    </row>
    <row r="30" spans="5:51">
      <c r="E30" s="18" t="str">
        <f t="shared" si="141"/>
        <v>68</v>
      </c>
      <c r="F30" s="15" t="str">
        <f t="shared" si="142"/>
        <v>F0</v>
      </c>
      <c r="G30" s="15" t="str">
        <f t="shared" si="143"/>
        <v>B1</v>
      </c>
      <c r="H30" s="16" t="str">
        <f t="shared" si="144"/>
        <v>11</v>
      </c>
      <c r="I30" s="18" t="str">
        <f t="shared" si="145"/>
        <v>B6</v>
      </c>
      <c r="J30" s="15" t="str">
        <f t="shared" si="146"/>
        <v>46</v>
      </c>
      <c r="K30" s="15" t="str">
        <f t="shared" si="147"/>
        <v>F7</v>
      </c>
      <c r="L30" s="16" t="str">
        <f t="shared" si="148"/>
        <v>E6</v>
      </c>
      <c r="M30" s="18" t="str">
        <f t="shared" si="149"/>
        <v>1</v>
      </c>
      <c r="N30" s="15" t="str">
        <f t="shared" si="150"/>
        <v>47</v>
      </c>
      <c r="O30" s="15" t="str">
        <f t="shared" si="151"/>
        <v>B0</v>
      </c>
      <c r="P30" s="16" t="str">
        <f t="shared" si="152"/>
        <v>56</v>
      </c>
      <c r="Z30" s="47">
        <v>6</v>
      </c>
      <c r="AA30" s="12" t="str">
        <f>HexXor(AM26,AQ26)</f>
        <v>9A</v>
      </c>
      <c r="AB30" s="13" t="str">
        <f t="shared" si="74"/>
        <v>18</v>
      </c>
      <c r="AC30" s="13" t="str">
        <f t="shared" si="75"/>
        <v>18</v>
      </c>
      <c r="AD30" s="14" t="str">
        <f t="shared" si="76"/>
        <v>A8</v>
      </c>
      <c r="AE30" s="17" t="str">
        <f>AesSubbytes(AA30)</f>
        <v>b8</v>
      </c>
      <c r="AF30" s="13" t="str">
        <f t="shared" si="39"/>
        <v>ad</v>
      </c>
      <c r="AG30" s="13" t="str">
        <f t="shared" si="40"/>
        <v>ad</v>
      </c>
      <c r="AH30" s="14" t="str">
        <f t="shared" si="41"/>
        <v>c2</v>
      </c>
      <c r="AI30" s="17" t="str">
        <f>AE30</f>
        <v>b8</v>
      </c>
      <c r="AJ30" s="13" t="str">
        <f t="shared" ref="AJ30" si="159">AF30</f>
        <v>ad</v>
      </c>
      <c r="AK30" s="13" t="str">
        <f t="shared" ref="AK30" si="160">AG30</f>
        <v>ad</v>
      </c>
      <c r="AL30" s="14" t="str">
        <f t="shared" ref="AL30" si="161">AH30</f>
        <v>c2</v>
      </c>
      <c r="AM30" s="17" t="str">
        <f>GFMult(AI30,AI31,AI32,AI33,0)</f>
        <v>41</v>
      </c>
      <c r="AN30" s="13" t="str">
        <f>GFMult(AJ30,AJ31,AJ32,AJ33,0)</f>
        <v>D9</v>
      </c>
      <c r="AO30" s="13" t="str">
        <f t="shared" ref="AO30" si="162">GFMult(AK30,AK31,AK32,AK33,0)</f>
        <v>90</v>
      </c>
      <c r="AP30" s="14" t="str">
        <f t="shared" ref="AP30" si="163">GFMult(AL30,AL31,AL32,AL33,0)</f>
        <v>AC</v>
      </c>
      <c r="AQ30" s="17" t="str">
        <f>HexXor(AQ26,HexXor(AesSubbytes(AT27),"20"))</f>
        <v>19</v>
      </c>
      <c r="AR30" s="13" t="str">
        <f>HexXor(AQ30,AR26)</f>
        <v>78</v>
      </c>
      <c r="AS30" s="13" t="str">
        <f t="shared" ref="AS30:AT30" si="164">HexXor(AR30,AS26)</f>
        <v>2D</v>
      </c>
      <c r="AT30" s="14" t="str">
        <f t="shared" si="164"/>
        <v>42</v>
      </c>
      <c r="AU30" s="64"/>
      <c r="AV30" s="65"/>
      <c r="AW30" s="65"/>
      <c r="AX30" s="65"/>
      <c r="AY30" s="66"/>
    </row>
    <row r="31" spans="5:51">
      <c r="Z31" s="48"/>
      <c r="AA31" s="13" t="str">
        <f t="shared" ref="AA31:AA33" si="165">HexXor(AM27,AQ27)</f>
        <v>AD</v>
      </c>
      <c r="AB31" s="13" t="str">
        <f t="shared" si="74"/>
        <v>BD</v>
      </c>
      <c r="AC31" s="13" t="str">
        <f t="shared" si="75"/>
        <v>59</v>
      </c>
      <c r="AD31" s="14" t="str">
        <f t="shared" si="76"/>
        <v>7</v>
      </c>
      <c r="AE31" s="17" t="str">
        <f t="shared" ref="AE31:AE33" si="166">AesSubbytes(AA31)</f>
        <v>95</v>
      </c>
      <c r="AF31" s="13" t="str">
        <f t="shared" si="39"/>
        <v>7a</v>
      </c>
      <c r="AG31" s="13" t="str">
        <f t="shared" si="40"/>
        <v>cb</v>
      </c>
      <c r="AH31" s="14" t="str">
        <f t="shared" si="41"/>
        <v>c5</v>
      </c>
      <c r="AI31" s="17" t="str">
        <f>AF31</f>
        <v>7a</v>
      </c>
      <c r="AJ31" s="13" t="str">
        <f t="shared" ref="AJ31" si="167">AG31</f>
        <v>cb</v>
      </c>
      <c r="AK31" s="13" t="str">
        <f>AH31</f>
        <v>c5</v>
      </c>
      <c r="AL31" s="14" t="str">
        <f>AE31</f>
        <v>95</v>
      </c>
      <c r="AM31" s="17" t="str">
        <f>GFMult(AI30,AI31,AI32,AI33,1)</f>
        <v>45</v>
      </c>
      <c r="AN31" s="13" t="str">
        <f>GFMult(AJ30,AJ31,AJ32,AJ33,1)</f>
        <v>C7</v>
      </c>
      <c r="AO31" s="13" t="str">
        <f t="shared" ref="AO31" si="168">GFMult(AK30,AK31,AK32,AK33,1)</f>
        <v>40</v>
      </c>
      <c r="AP31" s="14" t="str">
        <f t="shared" ref="AP31" si="169">GFMult(AL30,AL31,AL32,AL33,1)</f>
        <v>17</v>
      </c>
      <c r="AQ31" s="17" t="str">
        <f>HexXor(AQ27,AesSubbytes(AT28))</f>
        <v>3</v>
      </c>
      <c r="AR31" s="13" t="str">
        <f t="shared" ref="AR31:AT31" si="170">HexXor(AQ31,AR27)</f>
        <v>0</v>
      </c>
      <c r="AS31" s="13" t="str">
        <f t="shared" si="170"/>
        <v>70</v>
      </c>
      <c r="AT31" s="14" t="str">
        <f t="shared" si="170"/>
        <v>CC</v>
      </c>
      <c r="AU31" s="64"/>
      <c r="AV31" s="65"/>
      <c r="AW31" s="65"/>
      <c r="AX31" s="65"/>
      <c r="AY31" s="66"/>
    </row>
    <row r="32" spans="5:51">
      <c r="Z32" s="48"/>
      <c r="AA32" s="13" t="str">
        <f t="shared" si="165"/>
        <v>2B</v>
      </c>
      <c r="AB32" s="13" t="str">
        <f t="shared" si="74"/>
        <v>C6</v>
      </c>
      <c r="AC32" s="13" t="str">
        <f t="shared" si="75"/>
        <v>9F</v>
      </c>
      <c r="AD32" s="14" t="str">
        <f t="shared" si="76"/>
        <v>AC</v>
      </c>
      <c r="AE32" s="17" t="str">
        <f t="shared" si="166"/>
        <v>f1</v>
      </c>
      <c r="AF32" s="13" t="str">
        <f t="shared" si="39"/>
        <v>b4</v>
      </c>
      <c r="AG32" s="13" t="str">
        <f t="shared" si="40"/>
        <v>db</v>
      </c>
      <c r="AH32" s="14" t="str">
        <f t="shared" si="41"/>
        <v>91</v>
      </c>
      <c r="AI32" s="17" t="str">
        <f>AG32</f>
        <v>db</v>
      </c>
      <c r="AJ32" s="13" t="str">
        <f>AH32</f>
        <v>91</v>
      </c>
      <c r="AK32" s="13" t="str">
        <f>AE32</f>
        <v>f1</v>
      </c>
      <c r="AL32" s="14" t="str">
        <f>AF32</f>
        <v>b4</v>
      </c>
      <c r="AM32" s="17" t="str">
        <f>GFMult(AI30,AI31,AI32,AI33,2)</f>
        <v>EE</v>
      </c>
      <c r="AN32" s="13" t="str">
        <f>GFMult(AJ30,AJ31,AJ32,AJ33,2)</f>
        <v>8E</v>
      </c>
      <c r="AO32" s="13" t="str">
        <f t="shared" ref="AO32" si="171">GFMult(AK30,AK31,AK32,AK33,2)</f>
        <v>D</v>
      </c>
      <c r="AP32" s="14" t="str">
        <f t="shared" ref="AP32" si="172">GFMult(AL30,AL31,AL32,AL33,2)</f>
        <v>41</v>
      </c>
      <c r="AQ32" s="17" t="str">
        <f>HexXor(AQ28,AesSubbytes(AT29))</f>
        <v>1B</v>
      </c>
      <c r="AR32" s="13" t="str">
        <f t="shared" ref="AR32:AT32" si="173">HexXor(AQ32,AR28)</f>
        <v>39</v>
      </c>
      <c r="AS32" s="13" t="str">
        <f t="shared" si="173"/>
        <v>E8</v>
      </c>
      <c r="AT32" s="14" t="str">
        <f t="shared" si="173"/>
        <v>1C</v>
      </c>
      <c r="AU32" s="64"/>
      <c r="AV32" s="65"/>
      <c r="AW32" s="65"/>
      <c r="AX32" s="65"/>
      <c r="AY32" s="66"/>
    </row>
    <row r="33" spans="26:51">
      <c r="Z33" s="49"/>
      <c r="AA33" s="15" t="str">
        <f t="shared" si="165"/>
        <v>92</v>
      </c>
      <c r="AB33" s="15" t="str">
        <f t="shared" si="74"/>
        <v>CA</v>
      </c>
      <c r="AC33" s="15" t="str">
        <f t="shared" si="75"/>
        <v>32</v>
      </c>
      <c r="AD33" s="16" t="str">
        <f t="shared" si="76"/>
        <v>6B</v>
      </c>
      <c r="AE33" s="18" t="str">
        <f t="shared" si="166"/>
        <v>4f</v>
      </c>
      <c r="AF33" s="15" t="str">
        <f t="shared" si="39"/>
        <v>74</v>
      </c>
      <c r="AG33" s="15" t="str">
        <f t="shared" si="40"/>
        <v>23</v>
      </c>
      <c r="AH33" s="16" t="str">
        <f t="shared" si="41"/>
        <v>7f</v>
      </c>
      <c r="AI33" s="18" t="str">
        <f>AH33</f>
        <v>7f</v>
      </c>
      <c r="AJ33" s="15" t="str">
        <f>AE33</f>
        <v>4f</v>
      </c>
      <c r="AK33" s="15" t="str">
        <f>AF33</f>
        <v>74</v>
      </c>
      <c r="AL33" s="16" t="str">
        <f>AG33</f>
        <v>23</v>
      </c>
      <c r="AM33" s="18" t="str">
        <f>GFMult(AI30,AI31,AI32,AI33,3)</f>
        <v>8C</v>
      </c>
      <c r="AN33" s="15" t="str">
        <f>GFMult(AJ30,AJ31,AJ32,AJ33,3)</f>
        <v>28</v>
      </c>
      <c r="AO33" s="15" t="str">
        <f t="shared" ref="AO33" si="174">GFMult(AK30,AK31,AK32,AK33,3)</f>
        <v>30</v>
      </c>
      <c r="AP33" s="16" t="str">
        <f t="shared" ref="AP33" si="175">GFMult(AL30,AL31,AL32,AL33,3)</f>
        <v>3A</v>
      </c>
      <c r="AQ33" s="18" t="str">
        <f>HexXor(AQ29,AesSubbytes(AT26))</f>
        <v>2F</v>
      </c>
      <c r="AR33" s="15" t="str">
        <f t="shared" ref="AR33:AT33" si="176">HexXor(AQ33,AR29)</f>
        <v>9B</v>
      </c>
      <c r="AS33" s="15" t="str">
        <f t="shared" si="176"/>
        <v>D9</v>
      </c>
      <c r="AT33" s="16" t="str">
        <f t="shared" si="176"/>
        <v>E1</v>
      </c>
      <c r="AU33" s="64"/>
      <c r="AV33" s="65"/>
      <c r="AW33" s="65"/>
      <c r="AX33" s="65"/>
      <c r="AY33" s="66"/>
    </row>
    <row r="34" spans="26:51">
      <c r="Z34" s="47">
        <v>7</v>
      </c>
      <c r="AA34" s="12" t="str">
        <f>HexXor(AM30,AQ30)</f>
        <v>58</v>
      </c>
      <c r="AB34" s="13" t="str">
        <f t="shared" si="74"/>
        <v>A1</v>
      </c>
      <c r="AC34" s="13" t="str">
        <f t="shared" si="75"/>
        <v>BD</v>
      </c>
      <c r="AD34" s="14" t="str">
        <f t="shared" si="76"/>
        <v>EE</v>
      </c>
      <c r="AE34" s="17" t="str">
        <f>AesSubbytes(AA34)</f>
        <v>6a</v>
      </c>
      <c r="AF34" s="13" t="str">
        <f t="shared" si="39"/>
        <v>32</v>
      </c>
      <c r="AG34" s="13" t="str">
        <f t="shared" si="40"/>
        <v>7a</v>
      </c>
      <c r="AH34" s="14" t="str">
        <f t="shared" si="41"/>
        <v>28</v>
      </c>
      <c r="AI34" s="17" t="str">
        <f>AE34</f>
        <v>6a</v>
      </c>
      <c r="AJ34" s="13" t="str">
        <f t="shared" ref="AJ34" si="177">AF34</f>
        <v>32</v>
      </c>
      <c r="AK34" s="13" t="str">
        <f t="shared" ref="AK34" si="178">AG34</f>
        <v>7a</v>
      </c>
      <c r="AL34" s="14" t="str">
        <f t="shared" ref="AL34" si="179">AH34</f>
        <v>28</v>
      </c>
      <c r="AM34" s="17" t="str">
        <f>GFMult(AI34,AI35,AI36,AI37,0)</f>
        <v>E5</v>
      </c>
      <c r="AN34" s="13" t="str">
        <f>GFMult(AJ34,AJ35,AJ36,AJ37,0)</f>
        <v>2E</v>
      </c>
      <c r="AO34" s="13" t="str">
        <f t="shared" ref="AO34" si="180">GFMult(AK34,AK35,AK36,AK37,0)</f>
        <v>AF</v>
      </c>
      <c r="AP34" s="14" t="str">
        <f t="shared" ref="AP34" si="181">GFMult(AL34,AL35,AL36,AL37,0)</f>
        <v>9</v>
      </c>
      <c r="AQ34" s="17" t="str">
        <f>HexXor(AQ30,HexXor(AesSubbytes(AT31),"40"))</f>
        <v>12</v>
      </c>
      <c r="AR34" s="13" t="str">
        <f>HexXor(AQ34,AR30)</f>
        <v>6A</v>
      </c>
      <c r="AS34" s="13" t="str">
        <f t="shared" ref="AS34:AT34" si="182">HexXor(AR34,AS30)</f>
        <v>47</v>
      </c>
      <c r="AT34" s="14" t="str">
        <f t="shared" si="182"/>
        <v>5</v>
      </c>
      <c r="AU34" s="64"/>
      <c r="AV34" s="65"/>
      <c r="AW34" s="65"/>
      <c r="AX34" s="65"/>
      <c r="AY34" s="66"/>
    </row>
    <row r="35" spans="26:51">
      <c r="Z35" s="48"/>
      <c r="AA35" s="13" t="str">
        <f t="shared" ref="AA35:AA37" si="183">HexXor(AM31,AQ31)</f>
        <v>46</v>
      </c>
      <c r="AB35" s="13" t="str">
        <f t="shared" si="74"/>
        <v>C7</v>
      </c>
      <c r="AC35" s="13" t="str">
        <f t="shared" si="75"/>
        <v>30</v>
      </c>
      <c r="AD35" s="14" t="str">
        <f t="shared" si="76"/>
        <v>DB</v>
      </c>
      <c r="AE35" s="17" t="str">
        <f t="shared" ref="AE35:AE37" si="184">AesSubbytes(AA35)</f>
        <v>5a</v>
      </c>
      <c r="AF35" s="13" t="str">
        <f t="shared" si="39"/>
        <v>c6</v>
      </c>
      <c r="AG35" s="13" t="str">
        <f t="shared" si="40"/>
        <v>4</v>
      </c>
      <c r="AH35" s="14" t="str">
        <f t="shared" si="41"/>
        <v>b9</v>
      </c>
      <c r="AI35" s="17" t="str">
        <f>AF35</f>
        <v>c6</v>
      </c>
      <c r="AJ35" s="13" t="str">
        <f t="shared" ref="AJ35" si="185">AG35</f>
        <v>4</v>
      </c>
      <c r="AK35" s="13" t="str">
        <f>AH35</f>
        <v>b9</v>
      </c>
      <c r="AL35" s="14" t="str">
        <f>AE35</f>
        <v>5a</v>
      </c>
      <c r="AM35" s="17" t="str">
        <f>GFMult(AI34,AI35,AI36,AI37,1)</f>
        <v>34</v>
      </c>
      <c r="AN35" s="13" t="str">
        <f>GFMult(AJ34,AJ35,AJ36,AJ37,1)</f>
        <v>E4</v>
      </c>
      <c r="AO35" s="13" t="str">
        <f t="shared" ref="AO35" si="186">GFMult(AK34,AK35,AK36,AK37,1)</f>
        <v>4F</v>
      </c>
      <c r="AP35" s="14" t="str">
        <f t="shared" ref="AP35" si="187">GFMult(AL34,AL35,AL36,AL37,1)</f>
        <v>62</v>
      </c>
      <c r="AQ35" s="17" t="str">
        <f>HexXor(AQ31,AesSubbytes(AT32))</f>
        <v>9F</v>
      </c>
      <c r="AR35" s="13" t="str">
        <f t="shared" ref="AR35:AT35" si="188">HexXor(AQ35,AR31)</f>
        <v>9F</v>
      </c>
      <c r="AS35" s="13" t="str">
        <f t="shared" si="188"/>
        <v>EF</v>
      </c>
      <c r="AT35" s="14" t="str">
        <f t="shared" si="188"/>
        <v>23</v>
      </c>
      <c r="AU35" s="64"/>
      <c r="AV35" s="65"/>
      <c r="AW35" s="65"/>
      <c r="AX35" s="65"/>
      <c r="AY35" s="66"/>
    </row>
    <row r="36" spans="26:51">
      <c r="Z36" s="48"/>
      <c r="AA36" s="13" t="str">
        <f t="shared" si="183"/>
        <v>F5</v>
      </c>
      <c r="AB36" s="13" t="str">
        <f t="shared" si="74"/>
        <v>B7</v>
      </c>
      <c r="AC36" s="13" t="str">
        <f t="shared" si="75"/>
        <v>E5</v>
      </c>
      <c r="AD36" s="14" t="str">
        <f t="shared" si="76"/>
        <v>5D</v>
      </c>
      <c r="AE36" s="17" t="str">
        <f t="shared" si="184"/>
        <v>e6</v>
      </c>
      <c r="AF36" s="13" t="str">
        <f t="shared" si="39"/>
        <v>a9</v>
      </c>
      <c r="AG36" s="13" t="str">
        <f t="shared" si="40"/>
        <v>d9</v>
      </c>
      <c r="AH36" s="14" t="str">
        <f t="shared" si="41"/>
        <v>4c</v>
      </c>
      <c r="AI36" s="17" t="str">
        <f>AG36</f>
        <v>d9</v>
      </c>
      <c r="AJ36" s="13" t="str">
        <f>AH36</f>
        <v>4c</v>
      </c>
      <c r="AK36" s="13" t="str">
        <f>AE36</f>
        <v>e6</v>
      </c>
      <c r="AL36" s="14" t="str">
        <f>AF36</f>
        <v>a9</v>
      </c>
      <c r="AM36" s="17" t="str">
        <f>GFMult(AI34,AI35,AI36,AI37,2)</f>
        <v>D5</v>
      </c>
      <c r="AN36" s="13" t="str">
        <f>GFMult(AJ34,AJ35,AJ36,AJ37,2)</f>
        <v>B0</v>
      </c>
      <c r="AO36" s="13" t="str">
        <f t="shared" ref="AO36" si="189">GFMult(AK34,AK35,AK36,AK37,2)</f>
        <v>A3</v>
      </c>
      <c r="AP36" s="14" t="str">
        <f t="shared" ref="AP36" si="190">GFMult(AL34,AL35,AL36,AL37,2)</f>
        <v>19</v>
      </c>
      <c r="AQ36" s="17" t="str">
        <f>HexXor(AQ32,AesSubbytes(AT33))</f>
        <v>E3</v>
      </c>
      <c r="AR36" s="13" t="str">
        <f t="shared" ref="AR36:AT36" si="191">HexXor(AQ36,AR32)</f>
        <v>DA</v>
      </c>
      <c r="AS36" s="13" t="str">
        <f t="shared" si="191"/>
        <v>32</v>
      </c>
      <c r="AT36" s="14" t="str">
        <f t="shared" si="191"/>
        <v>2E</v>
      </c>
      <c r="AU36" s="64"/>
      <c r="AV36" s="65"/>
      <c r="AW36" s="65"/>
      <c r="AX36" s="65"/>
      <c r="AY36" s="66"/>
    </row>
    <row r="37" spans="26:51">
      <c r="Z37" s="49"/>
      <c r="AA37" s="15" t="str">
        <f t="shared" si="183"/>
        <v>A3</v>
      </c>
      <c r="AB37" s="15" t="str">
        <f t="shared" si="74"/>
        <v>B3</v>
      </c>
      <c r="AC37" s="15" t="str">
        <f t="shared" si="75"/>
        <v>E9</v>
      </c>
      <c r="AD37" s="16" t="str">
        <f t="shared" si="76"/>
        <v>DB</v>
      </c>
      <c r="AE37" s="18" t="str">
        <f t="shared" si="184"/>
        <v>0a</v>
      </c>
      <c r="AF37" s="15" t="str">
        <f t="shared" si="39"/>
        <v>6d</v>
      </c>
      <c r="AG37" s="15" t="str">
        <f t="shared" si="40"/>
        <v>1e</v>
      </c>
      <c r="AH37" s="16" t="str">
        <f t="shared" si="41"/>
        <v>b9</v>
      </c>
      <c r="AI37" s="18" t="str">
        <f>AH37</f>
        <v>b9</v>
      </c>
      <c r="AJ37" s="15" t="str">
        <f>AE37</f>
        <v>0a</v>
      </c>
      <c r="AK37" s="15" t="str">
        <f>AF37</f>
        <v>6d</v>
      </c>
      <c r="AL37" s="16" t="str">
        <f>AG37</f>
        <v>1e</v>
      </c>
      <c r="AM37" s="18" t="str">
        <f>GFMult(AI34,AI35,AI36,AI37,3)</f>
        <v>C8</v>
      </c>
      <c r="AN37" s="15" t="str">
        <f>GFMult(AJ34,AJ35,AJ36,AJ37,3)</f>
        <v>A</v>
      </c>
      <c r="AO37" s="15" t="str">
        <f t="shared" ref="AO37" si="192">GFMult(AK34,AK35,AK36,AK37,3)</f>
        <v>B</v>
      </c>
      <c r="AP37" s="16" t="str">
        <f t="shared" ref="AP37" si="193">GFMult(AL34,AL35,AL36,AL37,3)</f>
        <v>B7</v>
      </c>
      <c r="AQ37" s="18" t="str">
        <f>HexXor(AQ33,AesSubbytes(AT30))</f>
        <v>3</v>
      </c>
      <c r="AR37" s="15" t="str">
        <f t="shared" ref="AR37:AT37" si="194">HexXor(AQ37,AR33)</f>
        <v>98</v>
      </c>
      <c r="AS37" s="15" t="str">
        <f t="shared" si="194"/>
        <v>41</v>
      </c>
      <c r="AT37" s="16" t="str">
        <f t="shared" si="194"/>
        <v>A0</v>
      </c>
      <c r="AU37" s="64"/>
      <c r="AV37" s="65"/>
      <c r="AW37" s="65"/>
      <c r="AX37" s="65"/>
      <c r="AY37" s="66"/>
    </row>
    <row r="38" spans="26:51">
      <c r="Z38" s="47">
        <v>8</v>
      </c>
      <c r="AA38" s="12" t="str">
        <f>HexXor(AM34,AQ34)</f>
        <v>F7</v>
      </c>
      <c r="AB38" s="13" t="str">
        <f t="shared" si="74"/>
        <v>44</v>
      </c>
      <c r="AC38" s="13" t="str">
        <f t="shared" si="75"/>
        <v>E8</v>
      </c>
      <c r="AD38" s="14" t="str">
        <f t="shared" si="76"/>
        <v>C</v>
      </c>
      <c r="AE38" s="17" t="str">
        <f>AesSubbytes(AA38)</f>
        <v>68</v>
      </c>
      <c r="AF38" s="13" t="str">
        <f t="shared" si="39"/>
        <v>1b</v>
      </c>
      <c r="AG38" s="13" t="str">
        <f t="shared" si="40"/>
        <v>9b</v>
      </c>
      <c r="AH38" s="14" t="str">
        <f t="shared" si="41"/>
        <v>fe</v>
      </c>
      <c r="AI38" s="17" t="str">
        <f>AE38</f>
        <v>68</v>
      </c>
      <c r="AJ38" s="13" t="str">
        <f t="shared" ref="AJ38" si="195">AF38</f>
        <v>1b</v>
      </c>
      <c r="AK38" s="13" t="str">
        <f t="shared" ref="AK38" si="196">AG38</f>
        <v>9b</v>
      </c>
      <c r="AL38" s="14" t="str">
        <f t="shared" ref="AL38" si="197">AH38</f>
        <v>fe</v>
      </c>
      <c r="AM38" s="17" t="str">
        <f>GFMult(AI38,AI39,AI40,AI41,0)</f>
        <v>C2</v>
      </c>
      <c r="AN38" s="13" t="str">
        <f>GFMult(AJ38,AJ39,AJ40,AJ41,0)</f>
        <v>88</v>
      </c>
      <c r="AO38" s="13" t="str">
        <f t="shared" ref="AO38" si="198">GFMult(AK38,AK39,AK40,AK41,0)</f>
        <v>F9</v>
      </c>
      <c r="AP38" s="14" t="str">
        <f t="shared" ref="AP38" si="199">GFMult(AL38,AL39,AL40,AL41,0)</f>
        <v>95</v>
      </c>
      <c r="AQ38" s="17" t="str">
        <f>HexXor(AQ34,HexXor(AesSubbytes(AT35),"80"))</f>
        <v>B4</v>
      </c>
      <c r="AR38" s="13" t="str">
        <f>HexXor(AQ38,AR34)</f>
        <v>DE</v>
      </c>
      <c r="AS38" s="13" t="str">
        <f t="shared" ref="AS38:AT38" si="200">HexXor(AR38,AS34)</f>
        <v>99</v>
      </c>
      <c r="AT38" s="14" t="str">
        <f t="shared" si="200"/>
        <v>9C</v>
      </c>
      <c r="AU38" s="64"/>
      <c r="AV38" s="65"/>
      <c r="AW38" s="65"/>
      <c r="AX38" s="65"/>
      <c r="AY38" s="66"/>
    </row>
    <row r="39" spans="26:51">
      <c r="Z39" s="48"/>
      <c r="AA39" s="13" t="str">
        <f t="shared" ref="AA39:AA41" si="201">HexXor(AM35,AQ35)</f>
        <v>AB</v>
      </c>
      <c r="AB39" s="13" t="str">
        <f t="shared" si="74"/>
        <v>7B</v>
      </c>
      <c r="AC39" s="13" t="str">
        <f t="shared" si="75"/>
        <v>A0</v>
      </c>
      <c r="AD39" s="14" t="str">
        <f t="shared" si="76"/>
        <v>41</v>
      </c>
      <c r="AE39" s="17" t="str">
        <f t="shared" ref="AE39:AE41" si="202">AesSubbytes(AA39)</f>
        <v>62</v>
      </c>
      <c r="AF39" s="13" t="str">
        <f t="shared" si="39"/>
        <v>21</v>
      </c>
      <c r="AG39" s="13" t="str">
        <f t="shared" si="40"/>
        <v>e0</v>
      </c>
      <c r="AH39" s="14" t="str">
        <f t="shared" si="41"/>
        <v>83</v>
      </c>
      <c r="AI39" s="17" t="str">
        <f>AF39</f>
        <v>21</v>
      </c>
      <c r="AJ39" s="13" t="str">
        <f t="shared" ref="AJ39" si="203">AG39</f>
        <v>e0</v>
      </c>
      <c r="AK39" s="13" t="str">
        <f>AH39</f>
        <v>83</v>
      </c>
      <c r="AL39" s="14" t="str">
        <f>AE39</f>
        <v>62</v>
      </c>
      <c r="AM39" s="17" t="str">
        <f>GFMult(AI38,AI39,AI40,AI41,1)</f>
        <v>42</v>
      </c>
      <c r="AN39" s="13" t="str">
        <f>GFMult(AJ38,AJ39,AJ40,AJ41,1)</f>
        <v>6A</v>
      </c>
      <c r="AO39" s="13" t="str">
        <f t="shared" ref="AO39" si="204">GFMult(AK38,AK39,AK40,AK41,1)</f>
        <v>C6</v>
      </c>
      <c r="AP39" s="14" t="str">
        <f t="shared" ref="AP39" si="205">GFMult(AL38,AL39,AL40,AL41,1)</f>
        <v>EA</v>
      </c>
      <c r="AQ39" s="17" t="str">
        <f>HexXor(AQ35,AesSubbytes(AT36))</f>
        <v>AE</v>
      </c>
      <c r="AR39" s="13" t="str">
        <f t="shared" ref="AR39:AT39" si="206">HexXor(AQ39,AR35)</f>
        <v>31</v>
      </c>
      <c r="AS39" s="13" t="str">
        <f t="shared" si="206"/>
        <v>DE</v>
      </c>
      <c r="AT39" s="14" t="str">
        <f t="shared" si="206"/>
        <v>FD</v>
      </c>
      <c r="AU39" s="64"/>
      <c r="AV39" s="65"/>
      <c r="AW39" s="65"/>
      <c r="AX39" s="65"/>
      <c r="AY39" s="66"/>
    </row>
    <row r="40" spans="26:51">
      <c r="Z40" s="48"/>
      <c r="AA40" s="13" t="str">
        <f t="shared" si="201"/>
        <v>36</v>
      </c>
      <c r="AB40" s="13" t="str">
        <f t="shared" si="74"/>
        <v>6A</v>
      </c>
      <c r="AC40" s="13" t="str">
        <f t="shared" si="75"/>
        <v>91</v>
      </c>
      <c r="AD40" s="14" t="str">
        <f t="shared" si="76"/>
        <v>37</v>
      </c>
      <c r="AE40" s="17" t="str">
        <f t="shared" si="202"/>
        <v>5</v>
      </c>
      <c r="AF40" s="13" t="str">
        <f t="shared" si="39"/>
        <v>2</v>
      </c>
      <c r="AG40" s="13" t="str">
        <f t="shared" si="40"/>
        <v>81</v>
      </c>
      <c r="AH40" s="14" t="str">
        <f t="shared" si="41"/>
        <v>9a</v>
      </c>
      <c r="AI40" s="17" t="str">
        <f>AG40</f>
        <v>81</v>
      </c>
      <c r="AJ40" s="13" t="str">
        <f>AH40</f>
        <v>9a</v>
      </c>
      <c r="AK40" s="13" t="str">
        <f>AE40</f>
        <v>5</v>
      </c>
      <c r="AL40" s="14" t="str">
        <f>AF40</f>
        <v>2</v>
      </c>
      <c r="AM40" s="17" t="str">
        <f>GFMult(AI38,AI39,AI40,AI41,2)</f>
        <v>5B</v>
      </c>
      <c r="AN40" s="13" t="str">
        <f>GFMult(AJ38,AJ39,AJ40,AJ41,2)</f>
        <v>F5</v>
      </c>
      <c r="AO40" s="13" t="str">
        <f t="shared" ref="AO40" si="207">GFMult(AK38,AK39,AK40,AK41,2)</f>
        <v>C3</v>
      </c>
      <c r="AP40" s="14" t="str">
        <f t="shared" ref="AP40" si="208">GFMult(AL38,AL39,AL40,AL41,2)</f>
        <v>F9</v>
      </c>
      <c r="AQ40" s="17" t="str">
        <f>HexXor(AQ36,AesSubbytes(AT37))</f>
        <v>3</v>
      </c>
      <c r="AR40" s="13" t="str">
        <f t="shared" ref="AR40:AT40" si="209">HexXor(AQ40,AR36)</f>
        <v>D9</v>
      </c>
      <c r="AS40" s="13" t="str">
        <f t="shared" si="209"/>
        <v>EB</v>
      </c>
      <c r="AT40" s="14" t="str">
        <f t="shared" si="209"/>
        <v>C5</v>
      </c>
      <c r="AU40" s="64"/>
      <c r="AV40" s="65"/>
      <c r="AW40" s="65"/>
      <c r="AX40" s="65"/>
      <c r="AY40" s="66"/>
    </row>
    <row r="41" spans="26:51">
      <c r="Z41" s="49"/>
      <c r="AA41" s="15" t="str">
        <f t="shared" si="201"/>
        <v>CB</v>
      </c>
      <c r="AB41" s="15" t="str">
        <f t="shared" si="74"/>
        <v>92</v>
      </c>
      <c r="AC41" s="15" t="str">
        <f t="shared" si="75"/>
        <v>4A</v>
      </c>
      <c r="AD41" s="16" t="str">
        <f t="shared" si="76"/>
        <v>17</v>
      </c>
      <c r="AE41" s="18" t="str">
        <f t="shared" si="202"/>
        <v>1f</v>
      </c>
      <c r="AF41" s="15" t="str">
        <f t="shared" si="39"/>
        <v>4f</v>
      </c>
      <c r="AG41" s="15" t="str">
        <f t="shared" si="40"/>
        <v>d6</v>
      </c>
      <c r="AH41" s="16" t="str">
        <f t="shared" si="41"/>
        <v>f0</v>
      </c>
      <c r="AI41" s="18" t="str">
        <f>AH41</f>
        <v>f0</v>
      </c>
      <c r="AJ41" s="15" t="str">
        <f>AE41</f>
        <v>1f</v>
      </c>
      <c r="AK41" s="15" t="str">
        <f>AF41</f>
        <v>4f</v>
      </c>
      <c r="AL41" s="16" t="str">
        <f>AG41</f>
        <v>d6</v>
      </c>
      <c r="AM41" s="18" t="str">
        <f>GFMult(AI38,AI39,AI40,AI41,3)</f>
        <v>E3</v>
      </c>
      <c r="AN41" s="15" t="str">
        <f>GFMult(AJ38,AJ39,AJ40,AJ41,3)</f>
        <v>69</v>
      </c>
      <c r="AO41" s="15" t="str">
        <f t="shared" ref="AO41" si="210">GFMult(AK38,AK39,AK40,AK41,3)</f>
        <v>AE</v>
      </c>
      <c r="AP41" s="16" t="str">
        <f t="shared" ref="AP41" si="211">GFMult(AL38,AL39,AL40,AL41,3)</f>
        <v>CE</v>
      </c>
      <c r="AQ41" s="18" t="str">
        <f>HexXor(AQ37,AesSubbytes(AT34))</f>
        <v>68</v>
      </c>
      <c r="AR41" s="15" t="str">
        <f t="shared" ref="AR41:AT41" si="212">HexXor(AQ41,AR37)</f>
        <v>F0</v>
      </c>
      <c r="AS41" s="15" t="str">
        <f t="shared" si="212"/>
        <v>B1</v>
      </c>
      <c r="AT41" s="16" t="str">
        <f t="shared" si="212"/>
        <v>11</v>
      </c>
      <c r="AU41" s="64"/>
      <c r="AV41" s="65"/>
      <c r="AW41" s="65"/>
      <c r="AX41" s="65"/>
      <c r="AY41" s="66"/>
    </row>
    <row r="42" spans="26:51">
      <c r="Z42" s="47">
        <v>9</v>
      </c>
      <c r="AA42" s="12" t="str">
        <f>HexXor(AM38,AQ38)</f>
        <v>76</v>
      </c>
      <c r="AB42" s="13" t="str">
        <f t="shared" si="74"/>
        <v>56</v>
      </c>
      <c r="AC42" s="13" t="str">
        <f t="shared" si="75"/>
        <v>60</v>
      </c>
      <c r="AD42" s="14" t="str">
        <f t="shared" si="76"/>
        <v>9</v>
      </c>
      <c r="AE42" s="17" t="str">
        <f>AesSubbytes(AA42)</f>
        <v>38</v>
      </c>
      <c r="AF42" s="13" t="str">
        <f t="shared" si="39"/>
        <v>b1</v>
      </c>
      <c r="AG42" s="13" t="str">
        <f t="shared" si="40"/>
        <v>d0</v>
      </c>
      <c r="AH42" s="14" t="str">
        <f t="shared" si="41"/>
        <v>1</v>
      </c>
      <c r="AI42" s="17" t="str">
        <f>AE42</f>
        <v>38</v>
      </c>
      <c r="AJ42" s="13" t="str">
        <f t="shared" ref="AJ42" si="213">AF42</f>
        <v>b1</v>
      </c>
      <c r="AK42" s="13" t="str">
        <f t="shared" ref="AK42" si="214">AG42</f>
        <v>d0</v>
      </c>
      <c r="AL42" s="14" t="str">
        <f t="shared" ref="AL42" si="215">AH42</f>
        <v>1</v>
      </c>
      <c r="AM42" s="17" t="str">
        <f>GFMult(AI42,AI43,AI44,AI45,0)</f>
        <v>91</v>
      </c>
      <c r="AN42" s="13" t="str">
        <f>GFMult(AJ42,AJ43,AJ44,AJ45,0)</f>
        <v>43</v>
      </c>
      <c r="AO42" s="13" t="str">
        <f t="shared" ref="AO42" si="216">GFMult(AK42,AK43,AK44,AK45,0)</f>
        <v>34</v>
      </c>
      <c r="AP42" s="14" t="str">
        <f t="shared" ref="AP42" si="217">GFMult(AL42,AL43,AL44,AL45,0)</f>
        <v>FA</v>
      </c>
      <c r="AQ42" s="17" t="str">
        <f>HexXor(AQ38,HexXor(AesSubbytes(AT39),"1b"))</f>
        <v>FB</v>
      </c>
      <c r="AR42" s="13" t="str">
        <f>HexXor(AQ42,AR38)</f>
        <v>25</v>
      </c>
      <c r="AS42" s="13" t="str">
        <f t="shared" ref="AS42:AT42" si="218">HexXor(AR42,AS38)</f>
        <v>BC</v>
      </c>
      <c r="AT42" s="14" t="str">
        <f t="shared" si="218"/>
        <v>20</v>
      </c>
      <c r="AU42" s="64"/>
      <c r="AV42" s="65"/>
      <c r="AW42" s="65"/>
      <c r="AX42" s="65"/>
      <c r="AY42" s="66"/>
    </row>
    <row r="43" spans="26:51">
      <c r="Z43" s="48"/>
      <c r="AA43" s="13" t="str">
        <f t="shared" ref="AA43:AA45" si="219">HexXor(AM39,AQ39)</f>
        <v>EC</v>
      </c>
      <c r="AB43" s="13" t="str">
        <f t="shared" si="74"/>
        <v>5B</v>
      </c>
      <c r="AC43" s="13" t="str">
        <f t="shared" si="75"/>
        <v>18</v>
      </c>
      <c r="AD43" s="14" t="str">
        <f t="shared" si="76"/>
        <v>17</v>
      </c>
      <c r="AE43" s="17" t="str">
        <f t="shared" ref="AE43:AE45" si="220">AesSubbytes(AA43)</f>
        <v>ce</v>
      </c>
      <c r="AF43" s="13" t="str">
        <f t="shared" si="39"/>
        <v>39</v>
      </c>
      <c r="AG43" s="13" t="str">
        <f t="shared" si="40"/>
        <v>ad</v>
      </c>
      <c r="AH43" s="14" t="str">
        <f t="shared" si="41"/>
        <v>f0</v>
      </c>
      <c r="AI43" s="17" t="str">
        <f>AF43</f>
        <v>39</v>
      </c>
      <c r="AJ43" s="13" t="str">
        <f t="shared" ref="AJ43" si="221">AG43</f>
        <v>ad</v>
      </c>
      <c r="AK43" s="13" t="str">
        <f>AH43</f>
        <v>f0</v>
      </c>
      <c r="AL43" s="14" t="str">
        <f>AE43</f>
        <v>ce</v>
      </c>
      <c r="AM43" s="17" t="str">
        <f>GFMult(AI42,AI43,AI44,AI45,1)</f>
        <v>88</v>
      </c>
      <c r="AN43" s="13" t="str">
        <f>GFMult(AJ42,AJ43,AJ44,AJ45,1)</f>
        <v>EB</v>
      </c>
      <c r="AO43" s="13" t="str">
        <f t="shared" ref="AO43" si="222">GFMult(AK42,AK43,AK44,AK45,1)</f>
        <v>7B</v>
      </c>
      <c r="AP43" s="14" t="str">
        <f t="shared" ref="AP43" si="223">GFMult(AL42,AL43,AL44,AL45,1)</f>
        <v>D5</v>
      </c>
      <c r="AQ43" s="17" t="str">
        <f>HexXor(AQ39,AesSubbytes(AT40))</f>
        <v>8</v>
      </c>
      <c r="AR43" s="13" t="str">
        <f t="shared" ref="AR43:AT43" si="224">HexXor(AQ43,AR39)</f>
        <v>39</v>
      </c>
      <c r="AS43" s="13" t="str">
        <f t="shared" si="224"/>
        <v>E7</v>
      </c>
      <c r="AT43" s="14" t="str">
        <f t="shared" si="224"/>
        <v>1A</v>
      </c>
      <c r="AU43" s="64"/>
      <c r="AV43" s="65"/>
      <c r="AW43" s="65"/>
      <c r="AX43" s="65"/>
      <c r="AY43" s="66"/>
    </row>
    <row r="44" spans="26:51">
      <c r="Z44" s="48"/>
      <c r="AA44" s="13" t="str">
        <f t="shared" si="219"/>
        <v>58</v>
      </c>
      <c r="AB44" s="13" t="str">
        <f t="shared" si="74"/>
        <v>2C</v>
      </c>
      <c r="AC44" s="13" t="str">
        <f t="shared" si="75"/>
        <v>28</v>
      </c>
      <c r="AD44" s="14" t="str">
        <f t="shared" si="76"/>
        <v>3C</v>
      </c>
      <c r="AE44" s="17" t="str">
        <f t="shared" si="220"/>
        <v>6a</v>
      </c>
      <c r="AF44" s="13" t="str">
        <f t="shared" si="39"/>
        <v>71</v>
      </c>
      <c r="AG44" s="13" t="str">
        <f t="shared" si="40"/>
        <v>34</v>
      </c>
      <c r="AH44" s="14" t="str">
        <f t="shared" si="41"/>
        <v>eb</v>
      </c>
      <c r="AI44" s="17" t="str">
        <f>AG44</f>
        <v>34</v>
      </c>
      <c r="AJ44" s="13" t="str">
        <f>AH44</f>
        <v>eb</v>
      </c>
      <c r="AK44" s="13" t="str">
        <f>AE44</f>
        <v>6a</v>
      </c>
      <c r="AL44" s="14" t="str">
        <f>AF44</f>
        <v>71</v>
      </c>
      <c r="AM44" s="17" t="str">
        <f>GFMult(AI42,AI43,AI44,AI45,2)</f>
        <v>D0</v>
      </c>
      <c r="AN44" s="13" t="str">
        <f>GFMult(AJ42,AJ43,AJ44,AJ45,2)</f>
        <v>96</v>
      </c>
      <c r="AO44" s="13" t="str">
        <f t="shared" ref="AO44" si="225">GFMult(AK42,AK43,AK44,AK45,2)</f>
        <v>DD</v>
      </c>
      <c r="AP44" s="14" t="str">
        <f t="shared" ref="AP44" si="226">GFMult(AL42,AL43,AL44,AL45,2)</f>
        <v>76</v>
      </c>
      <c r="AQ44" s="17" t="str">
        <f>HexXor(AQ40,AesSubbytes(AT41))</f>
        <v>81</v>
      </c>
      <c r="AR44" s="13" t="str">
        <f t="shared" ref="AR44:AT44" si="227">HexXor(AQ44,AR40)</f>
        <v>58</v>
      </c>
      <c r="AS44" s="13" t="str">
        <f t="shared" si="227"/>
        <v>B3</v>
      </c>
      <c r="AT44" s="14" t="str">
        <f t="shared" si="227"/>
        <v>76</v>
      </c>
      <c r="AU44" s="64"/>
      <c r="AV44" s="65"/>
      <c r="AW44" s="65"/>
      <c r="AX44" s="65"/>
      <c r="AY44" s="66"/>
    </row>
    <row r="45" spans="26:51">
      <c r="Z45" s="49"/>
      <c r="AA45" s="15" t="str">
        <f t="shared" si="219"/>
        <v>8B</v>
      </c>
      <c r="AB45" s="15" t="str">
        <f t="shared" si="74"/>
        <v>99</v>
      </c>
      <c r="AC45" s="15" t="str">
        <f t="shared" si="75"/>
        <v>1F</v>
      </c>
      <c r="AD45" s="16" t="str">
        <f t="shared" si="76"/>
        <v>DF</v>
      </c>
      <c r="AE45" s="18" t="str">
        <f t="shared" si="220"/>
        <v>3d</v>
      </c>
      <c r="AF45" s="15" t="str">
        <f t="shared" si="39"/>
        <v>ee</v>
      </c>
      <c r="AG45" s="15" t="str">
        <f t="shared" si="40"/>
        <v>c0</v>
      </c>
      <c r="AH45" s="16" t="str">
        <f t="shared" si="41"/>
        <v>9e</v>
      </c>
      <c r="AI45" s="18" t="str">
        <f>AH45</f>
        <v>9e</v>
      </c>
      <c r="AJ45" s="15" t="str">
        <f>AE45</f>
        <v>3d</v>
      </c>
      <c r="AK45" s="15" t="str">
        <f>AF45</f>
        <v>ee</v>
      </c>
      <c r="AL45" s="16" t="str">
        <f>AG45</f>
        <v>c0</v>
      </c>
      <c r="AM45" s="18" t="str">
        <f>GFMult(AI42,AI43,AI44,AI45,3)</f>
        <v>62</v>
      </c>
      <c r="AN45" s="15" t="str">
        <f>GFMult(AJ42,AJ43,AJ44,AJ45,3)</f>
        <v>F4</v>
      </c>
      <c r="AO45" s="15" t="str">
        <f t="shared" ref="AO45" si="228">GFMult(AK42,AK43,AK44,AK45,3)</f>
        <v>36</v>
      </c>
      <c r="AP45" s="16" t="str">
        <f t="shared" ref="AP45" si="229">GFMult(AL42,AL43,AL44,AL45,3)</f>
        <v>27</v>
      </c>
      <c r="AQ45" s="18" t="str">
        <f>HexXor(AQ41,AesSubbytes(AT38))</f>
        <v>B6</v>
      </c>
      <c r="AR45" s="15" t="str">
        <f t="shared" ref="AR45:AT45" si="230">HexXor(AQ45,AR41)</f>
        <v>46</v>
      </c>
      <c r="AS45" s="15" t="str">
        <f t="shared" si="230"/>
        <v>F7</v>
      </c>
      <c r="AT45" s="16" t="str">
        <f t="shared" si="230"/>
        <v>E6</v>
      </c>
      <c r="AU45" s="67"/>
      <c r="AV45" s="68"/>
      <c r="AW45" s="68"/>
      <c r="AX45" s="68"/>
      <c r="AY45" s="69"/>
    </row>
    <row r="46" spans="26:51">
      <c r="Z46" s="47">
        <v>10</v>
      </c>
      <c r="AA46" s="12" t="str">
        <f>HexXor(AM42,AQ42)</f>
        <v>6A</v>
      </c>
      <c r="AB46" s="13" t="str">
        <f t="shared" si="74"/>
        <v>66</v>
      </c>
      <c r="AC46" s="13" t="str">
        <f t="shared" si="75"/>
        <v>88</v>
      </c>
      <c r="AD46" s="14" t="str">
        <f t="shared" si="76"/>
        <v>DA</v>
      </c>
      <c r="AE46" s="17" t="str">
        <f>AesSubbytes(AA46)</f>
        <v>2</v>
      </c>
      <c r="AF46" s="13" t="str">
        <f t="shared" si="39"/>
        <v>33</v>
      </c>
      <c r="AG46" s="13" t="str">
        <f t="shared" si="40"/>
        <v>c4</v>
      </c>
      <c r="AH46" s="14" t="str">
        <f t="shared" si="41"/>
        <v>57</v>
      </c>
      <c r="AI46" s="17" t="str">
        <f>AE46</f>
        <v>2</v>
      </c>
      <c r="AJ46" s="13" t="str">
        <f t="shared" ref="AJ46" si="231">AF46</f>
        <v>33</v>
      </c>
      <c r="AK46" s="13" t="str">
        <f t="shared" ref="AK46" si="232">AG46</f>
        <v>c4</v>
      </c>
      <c r="AL46" s="14" t="str">
        <f t="shared" ref="AL46" si="233">AH46</f>
        <v>57</v>
      </c>
      <c r="AM46" s="70"/>
      <c r="AN46" s="71"/>
      <c r="AO46" s="71"/>
      <c r="AP46" s="72"/>
      <c r="AQ46" s="17" t="str">
        <f>HexXor(AQ42,HexXor(AesSubbytes(AT43),"36"))</f>
        <v>6F</v>
      </c>
      <c r="AR46" s="13" t="str">
        <f>HexXor(AQ46,AR42)</f>
        <v>4A</v>
      </c>
      <c r="AS46" s="13" t="str">
        <f t="shared" ref="AS46:AT46" si="234">HexXor(AR46,AS42)</f>
        <v>F6</v>
      </c>
      <c r="AT46" s="14" t="str">
        <f t="shared" si="234"/>
        <v>D6</v>
      </c>
      <c r="AU46" s="61" t="s">
        <v>26</v>
      </c>
      <c r="AV46" s="62"/>
      <c r="AW46" s="62"/>
      <c r="AX46" s="62"/>
      <c r="AY46" s="63"/>
    </row>
    <row r="47" spans="26:51">
      <c r="Z47" s="48"/>
      <c r="AA47" s="13" t="str">
        <f t="shared" ref="AA47:AA49" si="235">HexXor(AM43,AQ43)</f>
        <v>80</v>
      </c>
      <c r="AB47" s="13" t="str">
        <f t="shared" si="74"/>
        <v>D2</v>
      </c>
      <c r="AC47" s="13" t="str">
        <f t="shared" si="75"/>
        <v>9C</v>
      </c>
      <c r="AD47" s="14" t="str">
        <f t="shared" si="76"/>
        <v>CF</v>
      </c>
      <c r="AE47" s="17" t="str">
        <f t="shared" ref="AE47:AE49" si="236">AesSubbytes(AA47)</f>
        <v>cd</v>
      </c>
      <c r="AF47" s="13" t="str">
        <f t="shared" si="39"/>
        <v>b5</v>
      </c>
      <c r="AG47" s="13" t="str">
        <f t="shared" si="40"/>
        <v>de</v>
      </c>
      <c r="AH47" s="14" t="str">
        <f t="shared" si="41"/>
        <v>8a</v>
      </c>
      <c r="AI47" s="17" t="str">
        <f>AF47</f>
        <v>b5</v>
      </c>
      <c r="AJ47" s="13" t="str">
        <f t="shared" ref="AJ47" si="237">AG47</f>
        <v>de</v>
      </c>
      <c r="AK47" s="13" t="str">
        <f>AH47</f>
        <v>8a</v>
      </c>
      <c r="AL47" s="14" t="str">
        <f>AE47</f>
        <v>cd</v>
      </c>
      <c r="AM47" s="73"/>
      <c r="AN47" s="74"/>
      <c r="AO47" s="74"/>
      <c r="AP47" s="75"/>
      <c r="AQ47" s="17" t="str">
        <f>HexXor(AQ43,AesSubbytes(AT44))</f>
        <v>30</v>
      </c>
      <c r="AR47" s="13" t="str">
        <f t="shared" ref="AR47:AT47" si="238">HexXor(AQ47,AR43)</f>
        <v>9</v>
      </c>
      <c r="AS47" s="13" t="str">
        <f t="shared" si="238"/>
        <v>EE</v>
      </c>
      <c r="AT47" s="14" t="str">
        <f t="shared" si="238"/>
        <v>F4</v>
      </c>
      <c r="AU47" s="64"/>
      <c r="AV47" s="65"/>
      <c r="AW47" s="65"/>
      <c r="AX47" s="65"/>
      <c r="AY47" s="66"/>
    </row>
    <row r="48" spans="26:51">
      <c r="Z48" s="48"/>
      <c r="AA48" s="13" t="str">
        <f t="shared" si="235"/>
        <v>51</v>
      </c>
      <c r="AB48" s="13" t="str">
        <f t="shared" si="74"/>
        <v>CE</v>
      </c>
      <c r="AC48" s="13" t="str">
        <f t="shared" si="75"/>
        <v>6E</v>
      </c>
      <c r="AD48" s="14" t="str">
        <f t="shared" si="76"/>
        <v>0</v>
      </c>
      <c r="AE48" s="17" t="str">
        <f t="shared" si="236"/>
        <v>d1</v>
      </c>
      <c r="AF48" s="13" t="str">
        <f t="shared" si="39"/>
        <v>8b</v>
      </c>
      <c r="AG48" s="13" t="str">
        <f t="shared" si="40"/>
        <v>9f</v>
      </c>
      <c r="AH48" s="14" t="str">
        <f t="shared" si="41"/>
        <v>63</v>
      </c>
      <c r="AI48" s="17" t="str">
        <f>AG48</f>
        <v>9f</v>
      </c>
      <c r="AJ48" s="13" t="str">
        <f>AH48</f>
        <v>63</v>
      </c>
      <c r="AK48" s="13" t="str">
        <f>AE48</f>
        <v>d1</v>
      </c>
      <c r="AL48" s="14" t="str">
        <f>AF48</f>
        <v>8b</v>
      </c>
      <c r="AM48" s="73"/>
      <c r="AN48" s="74"/>
      <c r="AO48" s="74"/>
      <c r="AP48" s="75"/>
      <c r="AQ48" s="17" t="str">
        <f>HexXor(AQ44,AesSubbytes(AT45))</f>
        <v>F</v>
      </c>
      <c r="AR48" s="13" t="str">
        <f t="shared" ref="AR48:AT48" si="239">HexXor(AQ48,AR44)</f>
        <v>57</v>
      </c>
      <c r="AS48" s="13" t="str">
        <f t="shared" si="239"/>
        <v>E4</v>
      </c>
      <c r="AT48" s="14" t="str">
        <f t="shared" si="239"/>
        <v>92</v>
      </c>
      <c r="AU48" s="64"/>
      <c r="AV48" s="65"/>
      <c r="AW48" s="65"/>
      <c r="AX48" s="65"/>
      <c r="AY48" s="66"/>
    </row>
    <row r="49" spans="26:51">
      <c r="Z49" s="49"/>
      <c r="AA49" s="15" t="str">
        <f t="shared" si="235"/>
        <v>D4</v>
      </c>
      <c r="AB49" s="15" t="str">
        <f t="shared" si="74"/>
        <v>B2</v>
      </c>
      <c r="AC49" s="15" t="str">
        <f t="shared" si="75"/>
        <v>C1</v>
      </c>
      <c r="AD49" s="16" t="str">
        <f t="shared" si="76"/>
        <v>C1</v>
      </c>
      <c r="AE49" s="18" t="str">
        <f t="shared" si="236"/>
        <v>48</v>
      </c>
      <c r="AF49" s="15" t="str">
        <f t="shared" si="39"/>
        <v>37</v>
      </c>
      <c r="AG49" s="15" t="str">
        <f t="shared" si="40"/>
        <v>78</v>
      </c>
      <c r="AH49" s="16" t="str">
        <f t="shared" si="41"/>
        <v>78</v>
      </c>
      <c r="AI49" s="18" t="str">
        <f>AH49</f>
        <v>78</v>
      </c>
      <c r="AJ49" s="15" t="str">
        <f>AE49</f>
        <v>48</v>
      </c>
      <c r="AK49" s="15" t="str">
        <f>AF49</f>
        <v>37</v>
      </c>
      <c r="AL49" s="16" t="str">
        <f>AG49</f>
        <v>78</v>
      </c>
      <c r="AM49" s="76"/>
      <c r="AN49" s="77"/>
      <c r="AO49" s="77"/>
      <c r="AP49" s="78"/>
      <c r="AQ49" s="18" t="str">
        <f>HexXor(AQ45,AesSubbytes(AT42))</f>
        <v>1</v>
      </c>
      <c r="AR49" s="15" t="str">
        <f t="shared" ref="AR49:AT49" si="240">HexXor(AQ49,AR45)</f>
        <v>47</v>
      </c>
      <c r="AS49" s="15" t="str">
        <f t="shared" si="240"/>
        <v>B0</v>
      </c>
      <c r="AT49" s="16" t="str">
        <f t="shared" si="240"/>
        <v>56</v>
      </c>
      <c r="AU49" s="67"/>
      <c r="AV49" s="68"/>
      <c r="AW49" s="68"/>
      <c r="AX49" s="68"/>
      <c r="AY49" s="69"/>
    </row>
    <row r="50" spans="26:51">
      <c r="Z50" s="47" t="s">
        <v>19</v>
      </c>
      <c r="AA50" s="12" t="str">
        <f>HexXor(AI46,AQ46)</f>
        <v>6D</v>
      </c>
      <c r="AB50" s="13" t="str">
        <f t="shared" ref="AB50:AD50" si="241">HexXor(AJ46,AR46)</f>
        <v>79</v>
      </c>
      <c r="AC50" s="13" t="str">
        <f t="shared" si="241"/>
        <v>32</v>
      </c>
      <c r="AD50" s="14" t="str">
        <f t="shared" si="241"/>
        <v>81</v>
      </c>
      <c r="AE50" s="6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26:51">
      <c r="Z51" s="48"/>
      <c r="AA51" s="13" t="str">
        <f t="shared" ref="AA51:AA53" si="242">HexXor(AI47,AQ47)</f>
        <v>85</v>
      </c>
      <c r="AB51" s="13" t="str">
        <f t="shared" ref="AB51:AB53" si="243">HexXor(AJ47,AR47)</f>
        <v>D7</v>
      </c>
      <c r="AC51" s="13" t="str">
        <f t="shared" ref="AC51:AC53" si="244">HexXor(AK47,AS47)</f>
        <v>64</v>
      </c>
      <c r="AD51" s="14" t="str">
        <f t="shared" ref="AD51:AD53" si="245">HexXor(AL47,AT47)</f>
        <v>39</v>
      </c>
      <c r="AE51" s="8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</row>
    <row r="52" spans="26:51">
      <c r="Z52" s="48"/>
      <c r="AA52" s="13" t="str">
        <f t="shared" si="242"/>
        <v>90</v>
      </c>
      <c r="AB52" s="13" t="str">
        <f t="shared" si="243"/>
        <v>34</v>
      </c>
      <c r="AC52" s="13" t="str">
        <f t="shared" si="244"/>
        <v>35</v>
      </c>
      <c r="AD52" s="14" t="str">
        <f t="shared" si="245"/>
        <v>19</v>
      </c>
      <c r="AE52" s="8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</row>
    <row r="53" spans="26:51">
      <c r="Z53" s="49"/>
      <c r="AA53" s="15" t="str">
        <f t="shared" si="242"/>
        <v>79</v>
      </c>
      <c r="AB53" s="15" t="str">
        <f t="shared" si="243"/>
        <v>F</v>
      </c>
      <c r="AC53" s="15" t="str">
        <f t="shared" si="244"/>
        <v>87</v>
      </c>
      <c r="AD53" s="16" t="str">
        <f t="shared" si="245"/>
        <v>2E</v>
      </c>
      <c r="AE53" s="8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</row>
  </sheetData>
  <sheetProtection sheet="1" objects="1" scenarios="1"/>
  <mergeCells count="47">
    <mergeCell ref="AA4:AD4"/>
    <mergeCell ref="AU6:AY9"/>
    <mergeCell ref="AU10:AY45"/>
    <mergeCell ref="AU46:AY49"/>
    <mergeCell ref="AM46:AP49"/>
    <mergeCell ref="AE6:AL9"/>
    <mergeCell ref="AQ4:AT4"/>
    <mergeCell ref="AM4:AP4"/>
    <mergeCell ref="AI4:AL4"/>
    <mergeCell ref="AE4:AH4"/>
    <mergeCell ref="E26:H26"/>
    <mergeCell ref="I26:L26"/>
    <mergeCell ref="M26:P26"/>
    <mergeCell ref="C7:E7"/>
    <mergeCell ref="G7:W7"/>
    <mergeCell ref="C9:E9"/>
    <mergeCell ref="G9:W9"/>
    <mergeCell ref="C11:E11"/>
    <mergeCell ref="G11:W11"/>
    <mergeCell ref="E14:T14"/>
    <mergeCell ref="E16:H16"/>
    <mergeCell ref="I16:L16"/>
    <mergeCell ref="M16:P16"/>
    <mergeCell ref="Q16:T16"/>
    <mergeCell ref="E21:H21"/>
    <mergeCell ref="I21:L21"/>
    <mergeCell ref="M21:P21"/>
    <mergeCell ref="Q21:T21"/>
    <mergeCell ref="Z34:Z37"/>
    <mergeCell ref="Z38:Z41"/>
    <mergeCell ref="Z42:Z45"/>
    <mergeCell ref="Z46:Z49"/>
    <mergeCell ref="Z50:Z53"/>
    <mergeCell ref="G5:W5"/>
    <mergeCell ref="C2:AT2"/>
    <mergeCell ref="Z10:Z13"/>
    <mergeCell ref="Z14:Z17"/>
    <mergeCell ref="Z18:Z21"/>
    <mergeCell ref="Z22:Z25"/>
    <mergeCell ref="Z26:Z29"/>
    <mergeCell ref="Z30:Z33"/>
    <mergeCell ref="AA5:AD5"/>
    <mergeCell ref="AE5:AH5"/>
    <mergeCell ref="AI5:AL5"/>
    <mergeCell ref="AM5:AP5"/>
    <mergeCell ref="AQ5:AT5"/>
    <mergeCell ref="Z6:Z9"/>
  </mergeCells>
  <pageMargins left="0.7" right="0.7" top="0.75" bottom="0.75" header="0.3" footer="0.3"/>
  <pageSetup paperSize="3276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Y32"/>
  <sheetViews>
    <sheetView topLeftCell="A13" workbookViewId="0">
      <selection activeCell="C29" sqref="C29:F32"/>
    </sheetView>
  </sheetViews>
  <sheetFormatPr baseColWidth="10" defaultRowHeight="15"/>
  <cols>
    <col min="1" max="1" width="3.7109375" customWidth="1"/>
    <col min="2" max="2" width="3.140625" style="1" bestFit="1" customWidth="1"/>
    <col min="3" max="5" width="3.140625" bestFit="1" customWidth="1"/>
    <col min="6" max="6" width="3.28515625" bestFit="1" customWidth="1"/>
    <col min="7" max="11" width="3.140625" bestFit="1" customWidth="1"/>
    <col min="12" max="13" width="3.28515625" bestFit="1" customWidth="1"/>
    <col min="14" max="14" width="3.140625" bestFit="1" customWidth="1"/>
    <col min="15" max="18" width="3.28515625" bestFit="1" customWidth="1"/>
    <col min="20" max="23" width="2" bestFit="1" customWidth="1"/>
  </cols>
  <sheetData>
    <row r="1" spans="2:25">
      <c r="B1" s="60" t="s">
        <v>205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 t="s">
        <v>210</v>
      </c>
      <c r="T1" s="60"/>
      <c r="U1" s="60"/>
      <c r="V1" s="60"/>
      <c r="W1" s="60"/>
      <c r="X1" s="60"/>
    </row>
    <row r="3" spans="2:25" s="1" customFormat="1" ht="15.75" thickBot="1">
      <c r="C3" s="5">
        <v>0</v>
      </c>
      <c r="D3" s="5">
        <v>1</v>
      </c>
      <c r="E3" s="5">
        <v>2</v>
      </c>
      <c r="F3" s="5">
        <v>3</v>
      </c>
      <c r="G3" s="5">
        <v>4</v>
      </c>
      <c r="H3" s="5">
        <v>5</v>
      </c>
      <c r="I3" s="5">
        <v>6</v>
      </c>
      <c r="J3" s="5">
        <v>7</v>
      </c>
      <c r="K3" s="5">
        <v>8</v>
      </c>
      <c r="L3" s="5">
        <v>9</v>
      </c>
      <c r="M3" s="5" t="s">
        <v>200</v>
      </c>
      <c r="N3" s="5" t="s">
        <v>201</v>
      </c>
      <c r="O3" s="5" t="s">
        <v>202</v>
      </c>
      <c r="P3" s="5" t="s">
        <v>43</v>
      </c>
      <c r="Q3" s="5" t="s">
        <v>203</v>
      </c>
      <c r="R3" s="5" t="s">
        <v>204</v>
      </c>
    </row>
    <row r="4" spans="2:25">
      <c r="B4" s="5">
        <v>0</v>
      </c>
      <c r="C4" s="29">
        <v>63</v>
      </c>
      <c r="D4" s="30" t="s">
        <v>44</v>
      </c>
      <c r="E4" s="30">
        <v>77</v>
      </c>
      <c r="F4" s="30" t="s">
        <v>45</v>
      </c>
      <c r="G4" s="30" t="s">
        <v>46</v>
      </c>
      <c r="H4" s="30" t="s">
        <v>47</v>
      </c>
      <c r="I4" s="30" t="s">
        <v>48</v>
      </c>
      <c r="J4" s="30" t="s">
        <v>49</v>
      </c>
      <c r="K4" s="30">
        <v>30</v>
      </c>
      <c r="L4" s="30">
        <v>1</v>
      </c>
      <c r="M4" s="30">
        <v>67</v>
      </c>
      <c r="N4" s="30" t="s">
        <v>50</v>
      </c>
      <c r="O4" s="30" t="s">
        <v>51</v>
      </c>
      <c r="P4" s="30" t="s">
        <v>52</v>
      </c>
      <c r="Q4" s="30" t="s">
        <v>53</v>
      </c>
      <c r="R4" s="31">
        <v>76</v>
      </c>
      <c r="T4" s="38">
        <v>2</v>
      </c>
      <c r="U4" s="39">
        <v>3</v>
      </c>
      <c r="V4" s="40">
        <v>1</v>
      </c>
      <c r="W4" s="41">
        <v>1</v>
      </c>
      <c r="Y4" t="e">
        <v>#VALUE!</v>
      </c>
    </row>
    <row r="5" spans="2:25">
      <c r="B5" s="5">
        <v>10</v>
      </c>
      <c r="C5" s="32" t="s">
        <v>54</v>
      </c>
      <c r="D5" s="2">
        <v>82</v>
      </c>
      <c r="E5" s="2" t="s">
        <v>55</v>
      </c>
      <c r="F5" s="2" t="s">
        <v>56</v>
      </c>
      <c r="G5" s="2" t="s">
        <v>57</v>
      </c>
      <c r="H5" s="2">
        <v>59</v>
      </c>
      <c r="I5" s="2">
        <v>47</v>
      </c>
      <c r="J5" s="2" t="s">
        <v>58</v>
      </c>
      <c r="K5" s="2" t="s">
        <v>59</v>
      </c>
      <c r="L5" s="2" t="s">
        <v>60</v>
      </c>
      <c r="M5" s="2" t="s">
        <v>61</v>
      </c>
      <c r="N5" s="2" t="s">
        <v>62</v>
      </c>
      <c r="O5" s="2" t="s">
        <v>63</v>
      </c>
      <c r="P5" s="2" t="s">
        <v>64</v>
      </c>
      <c r="Q5" s="2">
        <v>72</v>
      </c>
      <c r="R5" s="33" t="s">
        <v>65</v>
      </c>
      <c r="T5" s="42">
        <v>1</v>
      </c>
      <c r="U5" s="2">
        <v>2</v>
      </c>
      <c r="V5" s="2">
        <v>3</v>
      </c>
      <c r="W5" s="43">
        <v>1</v>
      </c>
      <c r="Y5">
        <v>103</v>
      </c>
    </row>
    <row r="6" spans="2:25">
      <c r="B6" s="5">
        <v>20</v>
      </c>
      <c r="C6" s="32" t="s">
        <v>66</v>
      </c>
      <c r="D6" s="2" t="s">
        <v>67</v>
      </c>
      <c r="E6" s="2">
        <v>93</v>
      </c>
      <c r="F6" s="2">
        <v>26</v>
      </c>
      <c r="G6" s="2">
        <v>36</v>
      </c>
      <c r="H6" s="2" t="s">
        <v>68</v>
      </c>
      <c r="I6" s="2" t="s">
        <v>69</v>
      </c>
      <c r="J6" s="2" t="s">
        <v>70</v>
      </c>
      <c r="K6" s="2">
        <v>34</v>
      </c>
      <c r="L6" s="2" t="s">
        <v>71</v>
      </c>
      <c r="M6" s="2" t="s">
        <v>72</v>
      </c>
      <c r="N6" s="2" t="s">
        <v>73</v>
      </c>
      <c r="O6" s="2">
        <v>71</v>
      </c>
      <c r="P6" s="2" t="s">
        <v>74</v>
      </c>
      <c r="Q6" s="2">
        <v>31</v>
      </c>
      <c r="R6" s="33">
        <v>15</v>
      </c>
      <c r="T6" s="42">
        <v>1</v>
      </c>
      <c r="U6" s="2">
        <v>1</v>
      </c>
      <c r="V6" s="2">
        <v>2</v>
      </c>
      <c r="W6" s="43">
        <v>3</v>
      </c>
    </row>
    <row r="7" spans="2:25" ht="15.75" thickBot="1">
      <c r="B7" s="5">
        <v>30</v>
      </c>
      <c r="C7" s="32">
        <v>4</v>
      </c>
      <c r="D7" s="2" t="s">
        <v>75</v>
      </c>
      <c r="E7" s="2">
        <v>23</v>
      </c>
      <c r="F7" s="2" t="s">
        <v>76</v>
      </c>
      <c r="G7" s="2">
        <v>18</v>
      </c>
      <c r="H7" s="2">
        <v>96</v>
      </c>
      <c r="I7" s="2">
        <v>5</v>
      </c>
      <c r="J7" s="2" t="s">
        <v>77</v>
      </c>
      <c r="K7" s="2">
        <v>7</v>
      </c>
      <c r="L7" s="2">
        <v>12</v>
      </c>
      <c r="M7" s="2">
        <v>80</v>
      </c>
      <c r="N7" s="2" t="s">
        <v>78</v>
      </c>
      <c r="O7" s="2" t="s">
        <v>79</v>
      </c>
      <c r="P7" s="2">
        <v>27</v>
      </c>
      <c r="Q7" s="2" t="s">
        <v>80</v>
      </c>
      <c r="R7" s="33">
        <v>75</v>
      </c>
      <c r="T7" s="44">
        <v>3</v>
      </c>
      <c r="U7" s="45">
        <v>1</v>
      </c>
      <c r="V7" s="45">
        <v>1</v>
      </c>
      <c r="W7" s="46">
        <v>2</v>
      </c>
    </row>
    <row r="8" spans="2:25">
      <c r="B8" s="5">
        <v>40</v>
      </c>
      <c r="C8" s="32">
        <v>9</v>
      </c>
      <c r="D8" s="2">
        <v>83</v>
      </c>
      <c r="E8" s="2" t="s">
        <v>81</v>
      </c>
      <c r="F8" s="2" t="s">
        <v>82</v>
      </c>
      <c r="G8" s="2" t="s">
        <v>83</v>
      </c>
      <c r="H8" s="2" t="s">
        <v>84</v>
      </c>
      <c r="I8" s="2" t="s">
        <v>85</v>
      </c>
      <c r="J8" s="2" t="s">
        <v>86</v>
      </c>
      <c r="K8" s="2">
        <v>52</v>
      </c>
      <c r="L8" s="2" t="s">
        <v>87</v>
      </c>
      <c r="M8" s="2" t="s">
        <v>88</v>
      </c>
      <c r="N8" s="2" t="s">
        <v>89</v>
      </c>
      <c r="O8" s="2">
        <v>29</v>
      </c>
      <c r="P8" s="2" t="s">
        <v>90</v>
      </c>
      <c r="Q8" s="2" t="s">
        <v>91</v>
      </c>
      <c r="R8" s="33">
        <v>84</v>
      </c>
    </row>
    <row r="9" spans="2:25">
      <c r="B9" s="5">
        <v>50</v>
      </c>
      <c r="C9" s="32">
        <v>53</v>
      </c>
      <c r="D9" s="2" t="s">
        <v>92</v>
      </c>
      <c r="E9" s="2">
        <v>0</v>
      </c>
      <c r="F9" s="2" t="s">
        <v>93</v>
      </c>
      <c r="G9" s="2">
        <v>20</v>
      </c>
      <c r="H9" s="2" t="s">
        <v>94</v>
      </c>
      <c r="I9" s="2" t="s">
        <v>95</v>
      </c>
      <c r="J9" s="2" t="s">
        <v>96</v>
      </c>
      <c r="K9" s="2" t="s">
        <v>97</v>
      </c>
      <c r="L9" s="2" t="s">
        <v>98</v>
      </c>
      <c r="M9" s="2" t="s">
        <v>99</v>
      </c>
      <c r="N9" s="2">
        <v>39</v>
      </c>
      <c r="O9" s="2" t="s">
        <v>100</v>
      </c>
      <c r="P9" s="2" t="s">
        <v>101</v>
      </c>
      <c r="Q9" s="2">
        <v>58</v>
      </c>
      <c r="R9" s="33" t="s">
        <v>102</v>
      </c>
    </row>
    <row r="10" spans="2:25">
      <c r="B10" s="5">
        <v>60</v>
      </c>
      <c r="C10" s="32" t="s">
        <v>103</v>
      </c>
      <c r="D10" s="2" t="s">
        <v>104</v>
      </c>
      <c r="E10" s="2" t="s">
        <v>105</v>
      </c>
      <c r="F10" s="2" t="s">
        <v>106</v>
      </c>
      <c r="G10" s="2">
        <v>43</v>
      </c>
      <c r="H10" s="2" t="s">
        <v>107</v>
      </c>
      <c r="I10" s="2">
        <v>33</v>
      </c>
      <c r="J10" s="2">
        <v>85</v>
      </c>
      <c r="K10" s="2">
        <v>45</v>
      </c>
      <c r="L10" s="2" t="s">
        <v>108</v>
      </c>
      <c r="M10" s="2">
        <v>2</v>
      </c>
      <c r="N10" s="2" t="s">
        <v>109</v>
      </c>
      <c r="O10" s="2">
        <v>50</v>
      </c>
      <c r="P10" s="2" t="s">
        <v>110</v>
      </c>
      <c r="Q10" s="2" t="s">
        <v>111</v>
      </c>
      <c r="R10" s="33" t="s">
        <v>112</v>
      </c>
    </row>
    <row r="11" spans="2:25">
      <c r="B11" s="5">
        <v>70</v>
      </c>
      <c r="C11" s="32">
        <v>51</v>
      </c>
      <c r="D11" s="2" t="s">
        <v>113</v>
      </c>
      <c r="E11" s="2">
        <v>40</v>
      </c>
      <c r="F11" s="2" t="s">
        <v>114</v>
      </c>
      <c r="G11" s="2">
        <v>92</v>
      </c>
      <c r="H11" s="2" t="s">
        <v>115</v>
      </c>
      <c r="I11" s="2">
        <v>38</v>
      </c>
      <c r="J11" s="2" t="s">
        <v>116</v>
      </c>
      <c r="K11" s="2" t="s">
        <v>117</v>
      </c>
      <c r="L11" s="2" t="s">
        <v>118</v>
      </c>
      <c r="M11" s="2" t="s">
        <v>119</v>
      </c>
      <c r="N11" s="2">
        <v>21</v>
      </c>
      <c r="O11" s="2">
        <v>10</v>
      </c>
      <c r="P11" s="2" t="s">
        <v>120</v>
      </c>
      <c r="Q11" s="2" t="s">
        <v>121</v>
      </c>
      <c r="R11" s="33" t="s">
        <v>122</v>
      </c>
    </row>
    <row r="12" spans="2:25">
      <c r="B12" s="5">
        <v>80</v>
      </c>
      <c r="C12" s="32" t="s">
        <v>123</v>
      </c>
      <c r="D12" s="2" t="s">
        <v>124</v>
      </c>
      <c r="E12" s="2">
        <v>13</v>
      </c>
      <c r="F12" s="2" t="s">
        <v>125</v>
      </c>
      <c r="G12" s="2" t="s">
        <v>126</v>
      </c>
      <c r="H12" s="2">
        <v>97</v>
      </c>
      <c r="I12" s="2">
        <v>44</v>
      </c>
      <c r="J12" s="2">
        <v>17</v>
      </c>
      <c r="K12" s="2" t="s">
        <v>127</v>
      </c>
      <c r="L12" s="2" t="s">
        <v>128</v>
      </c>
      <c r="M12" s="2" t="s">
        <v>129</v>
      </c>
      <c r="N12" s="2" t="s">
        <v>130</v>
      </c>
      <c r="O12" s="2">
        <v>64</v>
      </c>
      <c r="P12" s="2" t="s">
        <v>131</v>
      </c>
      <c r="Q12" s="2">
        <v>19</v>
      </c>
      <c r="R12" s="33">
        <v>73</v>
      </c>
    </row>
    <row r="13" spans="2:25">
      <c r="B13" s="5">
        <v>90</v>
      </c>
      <c r="C13" s="32">
        <v>60</v>
      </c>
      <c r="D13" s="2">
        <v>81</v>
      </c>
      <c r="E13" s="2" t="s">
        <v>132</v>
      </c>
      <c r="F13" s="2" t="s">
        <v>133</v>
      </c>
      <c r="G13" s="2">
        <v>22</v>
      </c>
      <c r="H13" s="2" t="s">
        <v>134</v>
      </c>
      <c r="I13" s="2">
        <v>90</v>
      </c>
      <c r="J13" s="2">
        <v>88</v>
      </c>
      <c r="K13" s="2">
        <v>46</v>
      </c>
      <c r="L13" s="2" t="s">
        <v>135</v>
      </c>
      <c r="M13" s="2" t="s">
        <v>136</v>
      </c>
      <c r="N13" s="2">
        <v>14</v>
      </c>
      <c r="O13" s="2" t="s">
        <v>137</v>
      </c>
      <c r="P13" s="2" t="s">
        <v>138</v>
      </c>
      <c r="Q13" s="2" t="s">
        <v>139</v>
      </c>
      <c r="R13" s="33" t="s">
        <v>140</v>
      </c>
    </row>
    <row r="14" spans="2:25">
      <c r="B14" s="5" t="s">
        <v>86</v>
      </c>
      <c r="C14" s="32" t="s">
        <v>141</v>
      </c>
      <c r="D14" s="2">
        <v>32</v>
      </c>
      <c r="E14" s="2" t="s">
        <v>142</v>
      </c>
      <c r="F14" s="2" t="s">
        <v>143</v>
      </c>
      <c r="G14" s="2">
        <v>49</v>
      </c>
      <c r="H14" s="2">
        <v>6</v>
      </c>
      <c r="I14" s="2">
        <v>24</v>
      </c>
      <c r="J14" s="2" t="s">
        <v>144</v>
      </c>
      <c r="K14" s="2" t="s">
        <v>145</v>
      </c>
      <c r="L14" s="2" t="s">
        <v>146</v>
      </c>
      <c r="M14" s="2" t="s">
        <v>147</v>
      </c>
      <c r="N14" s="2">
        <v>62</v>
      </c>
      <c r="O14" s="2">
        <v>91</v>
      </c>
      <c r="P14" s="2">
        <v>95</v>
      </c>
      <c r="Q14" s="2" t="s">
        <v>148</v>
      </c>
      <c r="R14" s="33">
        <v>79</v>
      </c>
    </row>
    <row r="15" spans="2:25">
      <c r="B15" s="5" t="s">
        <v>149</v>
      </c>
      <c r="C15" s="32" t="s">
        <v>150</v>
      </c>
      <c r="D15" s="2" t="s">
        <v>151</v>
      </c>
      <c r="E15" s="2">
        <v>37</v>
      </c>
      <c r="F15" s="2" t="s">
        <v>152</v>
      </c>
      <c r="G15" s="2" t="s">
        <v>153</v>
      </c>
      <c r="H15" s="2" t="s">
        <v>154</v>
      </c>
      <c r="I15" s="2" t="s">
        <v>155</v>
      </c>
      <c r="J15" s="2" t="s">
        <v>156</v>
      </c>
      <c r="K15" s="2" t="s">
        <v>157</v>
      </c>
      <c r="L15" s="2">
        <v>56</v>
      </c>
      <c r="M15" s="2" t="s">
        <v>158</v>
      </c>
      <c r="N15" s="2" t="s">
        <v>159</v>
      </c>
      <c r="O15" s="2">
        <v>65</v>
      </c>
      <c r="P15" s="2" t="s">
        <v>160</v>
      </c>
      <c r="Q15" s="2" t="s">
        <v>161</v>
      </c>
      <c r="R15" s="33">
        <v>8</v>
      </c>
    </row>
    <row r="16" spans="2:25">
      <c r="B16" s="5" t="s">
        <v>65</v>
      </c>
      <c r="C16" s="32" t="s">
        <v>162</v>
      </c>
      <c r="D16" s="2">
        <v>78</v>
      </c>
      <c r="E16" s="2">
        <v>25</v>
      </c>
      <c r="F16" s="2" t="s">
        <v>163</v>
      </c>
      <c r="G16" s="2" t="s">
        <v>164</v>
      </c>
      <c r="H16" s="2" t="s">
        <v>165</v>
      </c>
      <c r="I16" s="2" t="s">
        <v>166</v>
      </c>
      <c r="J16" s="2" t="s">
        <v>167</v>
      </c>
      <c r="K16" s="2" t="s">
        <v>168</v>
      </c>
      <c r="L16" s="2" t="s">
        <v>169</v>
      </c>
      <c r="M16" s="2">
        <v>74</v>
      </c>
      <c r="N16" s="2" t="s">
        <v>170</v>
      </c>
      <c r="O16" s="2" t="s">
        <v>171</v>
      </c>
      <c r="P16" s="2" t="s">
        <v>172</v>
      </c>
      <c r="Q16" s="2" t="s">
        <v>173</v>
      </c>
      <c r="R16" s="33" t="s">
        <v>174</v>
      </c>
    </row>
    <row r="17" spans="2:18">
      <c r="B17" s="5" t="s">
        <v>103</v>
      </c>
      <c r="C17" s="32">
        <v>70</v>
      </c>
      <c r="D17" s="2" t="s">
        <v>175</v>
      </c>
      <c r="E17" s="2" t="s">
        <v>176</v>
      </c>
      <c r="F17" s="2">
        <v>66</v>
      </c>
      <c r="G17" s="2">
        <v>48</v>
      </c>
      <c r="H17" s="2">
        <v>3</v>
      </c>
      <c r="I17" s="2" t="s">
        <v>177</v>
      </c>
      <c r="J17" s="2" t="s">
        <v>178</v>
      </c>
      <c r="K17" s="2">
        <v>61</v>
      </c>
      <c r="L17" s="2">
        <v>35</v>
      </c>
      <c r="M17" s="2">
        <v>57</v>
      </c>
      <c r="N17" s="2" t="s">
        <v>179</v>
      </c>
      <c r="O17" s="2">
        <v>86</v>
      </c>
      <c r="P17" s="2" t="s">
        <v>180</v>
      </c>
      <c r="Q17" s="2" t="s">
        <v>181</v>
      </c>
      <c r="R17" s="33" t="s">
        <v>182</v>
      </c>
    </row>
    <row r="18" spans="2:18">
      <c r="B18" s="5" t="s">
        <v>141</v>
      </c>
      <c r="C18" s="32" t="s">
        <v>183</v>
      </c>
      <c r="D18" s="2" t="s">
        <v>184</v>
      </c>
      <c r="E18" s="2">
        <v>98</v>
      </c>
      <c r="F18" s="2">
        <v>11</v>
      </c>
      <c r="G18" s="2">
        <v>69</v>
      </c>
      <c r="H18" s="2" t="s">
        <v>185</v>
      </c>
      <c r="I18" s="2" t="s">
        <v>186</v>
      </c>
      <c r="J18" s="2">
        <v>94</v>
      </c>
      <c r="K18" s="2" t="s">
        <v>187</v>
      </c>
      <c r="L18" s="2" t="s">
        <v>188</v>
      </c>
      <c r="M18" s="2">
        <v>87</v>
      </c>
      <c r="N18" s="2" t="s">
        <v>189</v>
      </c>
      <c r="O18" s="2" t="s">
        <v>190</v>
      </c>
      <c r="P18" s="2">
        <v>55</v>
      </c>
      <c r="Q18" s="2">
        <v>28</v>
      </c>
      <c r="R18" s="33" t="s">
        <v>191</v>
      </c>
    </row>
    <row r="19" spans="2:18">
      <c r="B19" s="5" t="s">
        <v>58</v>
      </c>
      <c r="C19" s="34" t="s">
        <v>192</v>
      </c>
      <c r="D19" s="35" t="s">
        <v>193</v>
      </c>
      <c r="E19" s="35">
        <v>89</v>
      </c>
      <c r="F19" s="35" t="s">
        <v>194</v>
      </c>
      <c r="G19" s="35" t="s">
        <v>195</v>
      </c>
      <c r="H19" s="35" t="s">
        <v>196</v>
      </c>
      <c r="I19" s="35">
        <v>42</v>
      </c>
      <c r="J19" s="35">
        <v>68</v>
      </c>
      <c r="K19" s="35">
        <v>41</v>
      </c>
      <c r="L19" s="35">
        <v>99</v>
      </c>
      <c r="M19" s="35" t="s">
        <v>197</v>
      </c>
      <c r="N19" s="35" t="s">
        <v>198</v>
      </c>
      <c r="O19" s="35" t="s">
        <v>149</v>
      </c>
      <c r="P19" s="35">
        <v>54</v>
      </c>
      <c r="Q19" s="35" t="s">
        <v>199</v>
      </c>
      <c r="R19" s="36">
        <v>16</v>
      </c>
    </row>
    <row r="22" spans="2:18">
      <c r="C22" t="s">
        <v>206</v>
      </c>
      <c r="I22" t="s">
        <v>207</v>
      </c>
    </row>
    <row r="23" spans="2:18">
      <c r="C23" s="17" t="s">
        <v>34</v>
      </c>
      <c r="D23" s="13" t="s">
        <v>37</v>
      </c>
      <c r="E23" s="13" t="s">
        <v>38</v>
      </c>
      <c r="F23" s="14" t="s">
        <v>41</v>
      </c>
      <c r="I23" s="17" t="s">
        <v>50</v>
      </c>
      <c r="J23" s="13">
        <v>28</v>
      </c>
      <c r="K23" s="13" t="s">
        <v>53</v>
      </c>
      <c r="L23" s="14">
        <v>9</v>
      </c>
    </row>
    <row r="24" spans="2:18">
      <c r="C24" s="17">
        <v>68</v>
      </c>
      <c r="D24" s="13">
        <v>78</v>
      </c>
      <c r="E24" s="13" t="s">
        <v>39</v>
      </c>
      <c r="F24" s="14" t="s">
        <v>41</v>
      </c>
      <c r="I24" s="17" t="s">
        <v>129</v>
      </c>
      <c r="J24" s="13" t="s">
        <v>161</v>
      </c>
      <c r="K24" s="13" t="s">
        <v>69</v>
      </c>
      <c r="L24" s="14" t="s">
        <v>102</v>
      </c>
    </row>
    <row r="25" spans="2:18">
      <c r="C25" s="17" t="s">
        <v>35</v>
      </c>
      <c r="D25" s="13">
        <v>36</v>
      </c>
      <c r="E25" s="13" t="s">
        <v>40</v>
      </c>
      <c r="F25" s="14">
        <v>41</v>
      </c>
      <c r="I25" s="17">
        <v>15</v>
      </c>
      <c r="J25" s="13" t="s">
        <v>122</v>
      </c>
      <c r="K25" s="13">
        <v>15</v>
      </c>
      <c r="L25" s="14" t="s">
        <v>132</v>
      </c>
    </row>
    <row r="26" spans="2:18">
      <c r="C26" s="18" t="s">
        <v>36</v>
      </c>
      <c r="D26" s="15">
        <v>80</v>
      </c>
      <c r="E26" s="15">
        <v>98</v>
      </c>
      <c r="F26" s="16" t="s">
        <v>42</v>
      </c>
      <c r="I26" s="18">
        <v>16</v>
      </c>
      <c r="J26" s="15" t="s">
        <v>165</v>
      </c>
      <c r="K26" s="15">
        <v>88</v>
      </c>
      <c r="L26" s="16" t="s">
        <v>110</v>
      </c>
    </row>
    <row r="28" spans="2:18">
      <c r="C28" s="37" t="s">
        <v>208</v>
      </c>
      <c r="I28" t="s">
        <v>209</v>
      </c>
    </row>
    <row r="29" spans="2:18">
      <c r="C29" s="28" t="s">
        <v>31</v>
      </c>
      <c r="D29" s="28">
        <v>66</v>
      </c>
      <c r="E29" s="28">
        <v>61</v>
      </c>
      <c r="F29" s="28" t="s">
        <v>32</v>
      </c>
      <c r="I29">
        <v>32</v>
      </c>
      <c r="J29">
        <v>88</v>
      </c>
      <c r="K29">
        <v>31</v>
      </c>
      <c r="L29" s="37" t="s">
        <v>141</v>
      </c>
    </row>
    <row r="30" spans="2:18">
      <c r="C30" s="28" t="s">
        <v>32</v>
      </c>
      <c r="D30" s="28">
        <v>72</v>
      </c>
      <c r="E30" s="28" t="s">
        <v>31</v>
      </c>
      <c r="F30" s="28">
        <v>72</v>
      </c>
      <c r="I30">
        <v>43</v>
      </c>
      <c r="J30" t="s">
        <v>85</v>
      </c>
      <c r="K30">
        <v>31</v>
      </c>
      <c r="L30">
        <v>37</v>
      </c>
    </row>
    <row r="31" spans="2:18">
      <c r="C31" s="28">
        <v>74</v>
      </c>
      <c r="D31" s="28">
        <v>61</v>
      </c>
      <c r="E31" s="28">
        <v>74</v>
      </c>
      <c r="F31" s="28" t="s">
        <v>33</v>
      </c>
      <c r="I31" t="s">
        <v>177</v>
      </c>
      <c r="J31">
        <v>30</v>
      </c>
      <c r="K31">
        <v>98</v>
      </c>
      <c r="L31">
        <v>7</v>
      </c>
    </row>
    <row r="32" spans="2:18">
      <c r="C32" s="15">
        <v>61</v>
      </c>
      <c r="D32" s="15">
        <v>67</v>
      </c>
      <c r="E32" s="15">
        <v>77</v>
      </c>
      <c r="F32" s="16">
        <v>64</v>
      </c>
      <c r="I32" t="s">
        <v>112</v>
      </c>
      <c r="J32" t="s">
        <v>153</v>
      </c>
      <c r="K32" t="s">
        <v>61</v>
      </c>
      <c r="L32">
        <v>34</v>
      </c>
    </row>
  </sheetData>
  <mergeCells count="2">
    <mergeCell ref="B1:R1"/>
    <mergeCell ref="S1:X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http://www.centor.mx.gd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Centor</dc:creator>
  <cp:lastModifiedBy>Sala de Informática</cp:lastModifiedBy>
  <dcterms:created xsi:type="dcterms:W3CDTF">2009-10-27T03:06:45Z</dcterms:created>
  <dcterms:modified xsi:type="dcterms:W3CDTF">2009-11-20T02:00:02Z</dcterms:modified>
</cp:coreProperties>
</file>